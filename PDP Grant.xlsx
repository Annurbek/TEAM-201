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UNICORN\"/>
    </mc:Choice>
  </mc:AlternateContent>
  <xr:revisionPtr revIDLastSave="0" documentId="13_ncr:1_{7445D803-83A8-4834-98C5-6F6A6C3A5F7A}" xr6:coauthVersionLast="47" xr6:coauthVersionMax="47" xr10:uidLastSave="{00000000-0000-0000-0000-000000000000}"/>
  <bookViews>
    <workbookView xWindow="-120" yWindow="-120" windowWidth="29040" windowHeight="15990" tabRatio="693" xr2:uid="{00000000-000D-0000-FFFF-FFFF00000000}"/>
  </bookViews>
  <sheets>
    <sheet name="dashboard 1-kurs" sheetId="1" r:id="rId1"/>
  </sheets>
  <calcPr calcId="191029"/>
  <customWorkbookViews>
    <customWorkbookView name="Фильтр 1" guid="{09E81740-A453-4D23-8E88-BBB9C71087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1" i="1" l="1"/>
  <c r="R11" i="1"/>
  <c r="Q11" i="1"/>
  <c r="N11" i="1"/>
  <c r="M11" i="1"/>
  <c r="K11" i="1"/>
  <c r="L11" i="1" s="1"/>
  <c r="J11" i="1"/>
  <c r="H11" i="1"/>
  <c r="U11" i="1" s="1"/>
  <c r="U10" i="1"/>
  <c r="S10" i="1"/>
  <c r="R10" i="1"/>
  <c r="Q10" i="1"/>
  <c r="N10" i="1"/>
  <c r="M10" i="1"/>
  <c r="K10" i="1"/>
  <c r="L10" i="1" s="1"/>
  <c r="J10" i="1"/>
  <c r="H10" i="1"/>
  <c r="S9" i="1"/>
  <c r="R9" i="1"/>
  <c r="Q9" i="1"/>
  <c r="N9" i="1"/>
  <c r="M9" i="1"/>
  <c r="K9" i="1"/>
  <c r="L9" i="1" s="1"/>
  <c r="J9" i="1"/>
  <c r="H9" i="1"/>
  <c r="U9" i="1" s="1"/>
  <c r="S8" i="1"/>
  <c r="R8" i="1"/>
  <c r="Q8" i="1"/>
  <c r="N8" i="1"/>
  <c r="M8" i="1"/>
  <c r="K8" i="1"/>
  <c r="L8" i="1" s="1"/>
  <c r="J8" i="1"/>
  <c r="H8" i="1"/>
  <c r="U8" i="1" s="1"/>
  <c r="S7" i="1"/>
  <c r="R7" i="1"/>
  <c r="Q7" i="1"/>
  <c r="N7" i="1"/>
  <c r="M7" i="1"/>
  <c r="K7" i="1"/>
  <c r="L7" i="1" s="1"/>
  <c r="J7" i="1"/>
  <c r="H7" i="1"/>
  <c r="U7" i="1" s="1"/>
  <c r="S6" i="1"/>
  <c r="R6" i="1"/>
  <c r="Q6" i="1"/>
  <c r="N6" i="1"/>
  <c r="M6" i="1"/>
  <c r="K6" i="1"/>
  <c r="L6" i="1" s="1"/>
  <c r="J6" i="1"/>
  <c r="H6" i="1"/>
  <c r="S5" i="1"/>
  <c r="R5" i="1"/>
  <c r="Q5" i="1"/>
  <c r="N5" i="1"/>
  <c r="M5" i="1"/>
  <c r="K5" i="1"/>
  <c r="L5" i="1" s="1"/>
  <c r="J5" i="1"/>
  <c r="H5" i="1"/>
  <c r="U5" i="1" s="1"/>
  <c r="A5" i="1"/>
  <c r="A6" i="1" s="1"/>
  <c r="A7" i="1" s="1"/>
  <c r="A8" i="1" s="1"/>
  <c r="A9" i="1" s="1"/>
  <c r="A10" i="1" s="1"/>
  <c r="A11" i="1" s="1"/>
  <c r="S4" i="1"/>
  <c r="R4" i="1"/>
  <c r="Q4" i="1"/>
  <c r="N4" i="1"/>
  <c r="M4" i="1"/>
  <c r="K4" i="1"/>
  <c r="L4" i="1" s="1"/>
  <c r="J4" i="1"/>
  <c r="H4" i="1"/>
  <c r="U4" i="1" s="1"/>
  <c r="P11" i="1" l="1"/>
  <c r="T11" i="1" s="1"/>
  <c r="V11" i="1" s="1"/>
  <c r="P7" i="1"/>
  <c r="T7" i="1" s="1"/>
  <c r="V7" i="1" s="1"/>
  <c r="P6" i="1"/>
  <c r="T6" i="1" s="1"/>
  <c r="V6" i="1" s="1"/>
  <c r="P10" i="1"/>
  <c r="T10" i="1" s="1"/>
  <c r="V10" i="1" s="1"/>
  <c r="P9" i="1"/>
  <c r="T9" i="1" s="1"/>
  <c r="V9" i="1" s="1"/>
  <c r="P4" i="1"/>
  <c r="T4" i="1" s="1"/>
  <c r="V4" i="1" s="1"/>
  <c r="P8" i="1"/>
  <c r="T8" i="1" s="1"/>
  <c r="V8" i="1" s="1"/>
  <c r="P5" i="1"/>
  <c r="T5" i="1" s="1"/>
  <c r="V5" i="1" s="1"/>
  <c r="U6" i="1"/>
</calcChain>
</file>

<file path=xl/sharedStrings.xml><?xml version="1.0" encoding="utf-8"?>
<sst xmlns="http://schemas.openxmlformats.org/spreadsheetml/2006/main" count="58" uniqueCount="35">
  <si>
    <t>№</t>
  </si>
  <si>
    <t>Student Name</t>
  </si>
  <si>
    <t>PNFL</t>
  </si>
  <si>
    <t>Group</t>
  </si>
  <si>
    <t>Student ID</t>
  </si>
  <si>
    <t>Status</t>
  </si>
  <si>
    <t xml:space="preserve">Academic </t>
  </si>
  <si>
    <t>Attendance</t>
  </si>
  <si>
    <t>Assigment</t>
  </si>
  <si>
    <t>Activity</t>
  </si>
  <si>
    <t>Tyutor</t>
  </si>
  <si>
    <t>Discip line</t>
  </si>
  <si>
    <t>Total</t>
  </si>
  <si>
    <t>Penalty</t>
  </si>
  <si>
    <t>Reco very</t>
  </si>
  <si>
    <t>Employ ment</t>
  </si>
  <si>
    <t>Final Score</t>
  </si>
  <si>
    <t>%</t>
  </si>
  <si>
    <t>Ball</t>
  </si>
  <si>
    <t>Risk</t>
  </si>
  <si>
    <t>10</t>
  </si>
  <si>
    <t>MUSTAFAYEV XOJIAKBAR MASHRAB O‘G‘LI</t>
  </si>
  <si>
    <t>25-102</t>
  </si>
  <si>
    <t>Grant</t>
  </si>
  <si>
    <t>BAXTIYOROV FAXRIDDIN BAXRIDDIN O‘G‘LI</t>
  </si>
  <si>
    <t>QURBANOV SHAXRIYOR YARASH O‘G‘LI</t>
  </si>
  <si>
    <t>25-203</t>
  </si>
  <si>
    <t>ISROILOV IBROXIMJON ERGASHALI O‘G‘LI</t>
  </si>
  <si>
    <t>ABDULAZIZOV MIRJALOL ABDUSATTOR O‘G‘LI</t>
  </si>
  <si>
    <t>25-201</t>
  </si>
  <si>
    <t>SHUHRATOV SARDOR SHUHRAT O‘G‘LI</t>
  </si>
  <si>
    <t>OSIMJONOV ILXOMJON OLIMJON O‘G‘LI</t>
  </si>
  <si>
    <t>25-213</t>
  </si>
  <si>
    <t>Kontrakt</t>
  </si>
  <si>
    <t>TOSHMURODOV JUMABEK KUSHNAZAR O‘G‘LI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</si>
</sst>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CC0000"/>
      <name val="Arial"/>
      <scheme val="minor"/>
    </font>
    <font>
      <sz val="11"/>
      <color theme="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4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2" borderId="4" xfId="0" applyFont="1" applyFill="1" applyBorder="1"/>
    <xf numFmtId="49" fontId="6" fillId="2" borderId="4" xfId="0" applyNumberFormat="1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/>
    </xf>
    <xf numFmtId="9" fontId="3" fillId="0" borderId="4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2" borderId="4" xfId="0" applyFont="1" applyFill="1" applyBorder="1"/>
    <xf numFmtId="49" fontId="6" fillId="2" borderId="4" xfId="0" applyNumberFormat="1" applyFont="1" applyFill="1" applyBorder="1" applyAlignment="1">
      <alignment horizontal="center"/>
    </xf>
    <xf numFmtId="49" fontId="6" fillId="2" borderId="4" xfId="0" applyNumberFormat="1" applyFont="1" applyFill="1" applyBorder="1" applyAlignment="1">
      <alignment horizontal="center"/>
    </xf>
    <xf numFmtId="49" fontId="3" fillId="0" borderId="0" xfId="0" applyNumberFormat="1" applyFont="1"/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49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8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38">
    <tableStyle name="dashboard 1-kurs-style" pivot="0" count="2" xr9:uid="{00000000-0011-0000-FFFF-FFFF00000000}">
      <tableStyleElement type="firstRowStripe" dxfId="79"/>
      <tableStyleElement type="secondRowStripe" dxfId="78"/>
    </tableStyle>
    <tableStyle name="dashboard 1-kurs-style 2" pivot="0" count="2" xr9:uid="{00000000-0011-0000-FFFF-FFFF01000000}">
      <tableStyleElement type="firstRowStripe" dxfId="77"/>
      <tableStyleElement type="secondRowStripe" dxfId="76"/>
    </tableStyle>
    <tableStyle name="dashboard 1-kurs-style 3" pivot="0" count="2" xr9:uid="{00000000-0011-0000-FFFF-FFFF02000000}">
      <tableStyleElement type="firstRowStripe" dxfId="75"/>
      <tableStyleElement type="secondRowStripe" dxfId="74"/>
    </tableStyle>
    <tableStyle name="dashboard 2-kurs-style" pivot="0" count="2" xr9:uid="{00000000-0011-0000-FFFF-FFFF03000000}">
      <tableStyleElement type="firstRowStripe" dxfId="73"/>
      <tableStyleElement type="secondRowStripe" dxfId="72"/>
    </tableStyle>
    <tableStyle name="dashboard 2-kurs-style 2" pivot="0" count="2" xr9:uid="{00000000-0011-0000-FFFF-FFFF04000000}">
      <tableStyleElement type="firstRowStripe" dxfId="71"/>
      <tableStyleElement type="secondRowStripe" dxfId="70"/>
    </tableStyle>
    <tableStyle name="dashboard 2-kurs-style 3" pivot="0" count="2" xr9:uid="{00000000-0011-0000-FFFF-FFFF05000000}">
      <tableStyleElement type="firstRowStripe" dxfId="69"/>
      <tableStyleElement type="secondRowStripe" dxfId="68"/>
    </tableStyle>
    <tableStyle name="dashboard 2-kurs-style 4" pivot="0" count="2" xr9:uid="{00000000-0011-0000-FFFF-FFFF06000000}">
      <tableStyleElement type="firstRowStripe" dxfId="67"/>
      <tableStyleElement type="secondRowStripe" dxfId="66"/>
    </tableStyle>
    <tableStyle name="dashboard 2-kurs-style 5" pivot="0" count="2" xr9:uid="{00000000-0011-0000-FFFF-FFFF07000000}">
      <tableStyleElement type="firstRowStripe" dxfId="65"/>
      <tableStyleElement type="secondRowStripe" dxfId="64"/>
    </tableStyle>
    <tableStyle name="dashboard 2-kurs-style 6" pivot="0" count="2" xr9:uid="{00000000-0011-0000-FFFF-FFFF08000000}">
      <tableStyleElement type="firstRowStripe" dxfId="63"/>
      <tableStyleElement type="secondRowStripe" dxfId="62"/>
    </tableStyle>
    <tableStyle name="dashboard 2-kurs-style 7" pivot="0" count="2" xr9:uid="{00000000-0011-0000-FFFF-FFFF09000000}">
      <tableStyleElement type="firstRowStripe" dxfId="61"/>
      <tableStyleElement type="secondRowStripe" dxfId="60"/>
    </tableStyle>
    <tableStyle name="dashboard 3-kurs-style" pivot="0" count="2" xr9:uid="{00000000-0011-0000-FFFF-FFFF0A000000}">
      <tableStyleElement type="firstRowStripe" dxfId="59"/>
      <tableStyleElement type="secondRowStripe" dxfId="58"/>
    </tableStyle>
    <tableStyle name="dashboard 3-kurs-style 2" pivot="0" count="2" xr9:uid="{00000000-0011-0000-FFFF-FFFF0B000000}">
      <tableStyleElement type="firstRowStripe" dxfId="57"/>
      <tableStyleElement type="secondRowStripe" dxfId="56"/>
    </tableStyle>
    <tableStyle name="dashboard 3-kurs-style 3" pivot="0" count="2" xr9:uid="{00000000-0011-0000-FFFF-FFFF0C000000}">
      <tableStyleElement type="firstRowStripe" dxfId="55"/>
      <tableStyleElement type="secondRowStripe" dxfId="54"/>
    </tableStyle>
    <tableStyle name="dashboard 3-kurs-style 4" pivot="0" count="2" xr9:uid="{00000000-0011-0000-FFFF-FFFF0D000000}">
      <tableStyleElement type="firstRowStripe" dxfId="53"/>
      <tableStyleElement type="secondRowStripe" dxfId="52"/>
    </tableStyle>
    <tableStyle name="dashboard 3-kurs-style 5" pivot="0" count="2" xr9:uid="{00000000-0011-0000-FFFF-FFFF0E000000}">
      <tableStyleElement type="firstRowStripe" dxfId="51"/>
      <tableStyleElement type="secondRowStripe" dxfId="50"/>
    </tableStyle>
    <tableStyle name="dashboard 3-kurs-style 6" pivot="0" count="2" xr9:uid="{00000000-0011-0000-FFFF-FFFF0F000000}">
      <tableStyleElement type="firstRowStripe" dxfId="49"/>
      <tableStyleElement type="secondRowStripe" dxfId="48"/>
    </tableStyle>
    <tableStyle name="dashboard 3-kurs-style 7" pivot="0" count="2" xr9:uid="{00000000-0011-0000-FFFF-FFFF10000000}">
      <tableStyleElement type="firstRowStripe" dxfId="47"/>
      <tableStyleElement type="secondRowStripe" dxfId="46"/>
    </tableStyle>
    <tableStyle name="dashboard 3-kurs-style 8" pivot="0" count="2" xr9:uid="{00000000-0011-0000-FFFF-FFFF11000000}">
      <tableStyleElement type="firstRowStripe" dxfId="45"/>
      <tableStyleElement type="secondRowStripe" dxfId="44"/>
    </tableStyle>
    <tableStyle name="dashboard 3-kurs-style 9" pivot="0" count="2" xr9:uid="{00000000-0011-0000-FFFF-FFFF12000000}">
      <tableStyleElement type="firstRowStripe" dxfId="43"/>
      <tableStyleElement type="secondRowStripe" dxfId="42"/>
    </tableStyle>
    <tableStyle name="dashboard 3-kurs-style 10" pivot="0" count="2" xr9:uid="{00000000-0011-0000-FFFF-FFFF13000000}">
      <tableStyleElement type="firstRowStripe" dxfId="41"/>
      <tableStyleElement type="secondRowStripe" dxfId="40"/>
    </tableStyle>
    <tableStyle name="dashboard 3-kurs-style 11" pivot="0" count="2" xr9:uid="{00000000-0011-0000-FFFF-FFFF14000000}">
      <tableStyleElement type="firstRowStripe" dxfId="39"/>
      <tableStyleElement type="secondRowStripe" dxfId="38"/>
    </tableStyle>
    <tableStyle name="dashboard 3-kurs-style 12" pivot="0" count="2" xr9:uid="{00000000-0011-0000-FFFF-FFFF15000000}">
      <tableStyleElement type="firstRowStripe" dxfId="37"/>
      <tableStyleElement type="secondRowStripe" dxfId="36"/>
    </tableStyle>
    <tableStyle name="dashboard 3-kurs-style 13" pivot="0" count="2" xr9:uid="{00000000-0011-0000-FFFF-FFFF16000000}">
      <tableStyleElement type="firstRowStripe" dxfId="35"/>
      <tableStyleElement type="secondRowStripe" dxfId="34"/>
    </tableStyle>
    <tableStyle name="dashboard 3-kurs-style 14" pivot="0" count="2" xr9:uid="{00000000-0011-0000-FFFF-FFFF17000000}">
      <tableStyleElement type="firstRowStripe" dxfId="33"/>
      <tableStyleElement type="secondRowStripe" dxfId="32"/>
    </tableStyle>
    <tableStyle name="dashboard 3-kurs-style 15" pivot="0" count="2" xr9:uid="{00000000-0011-0000-FFFF-FFFF18000000}">
      <tableStyleElement type="firstRowStripe" dxfId="31"/>
      <tableStyleElement type="secondRowStripe" dxfId="30"/>
    </tableStyle>
    <tableStyle name="dashboard 3-kurs00101-style" pivot="0" count="2" xr9:uid="{00000000-0011-0000-FFFF-FFFF19000000}">
      <tableStyleElement type="firstRowStripe" dxfId="29"/>
      <tableStyleElement type="secondRowStripe" dxfId="28"/>
    </tableStyle>
    <tableStyle name="dashboard 3-kurs00101-style 2" pivot="0" count="2" xr9:uid="{00000000-0011-0000-FFFF-FFFF1A000000}">
      <tableStyleElement type="firstRowStripe" dxfId="27"/>
      <tableStyleElement type="secondRowStripe" dxfId="26"/>
    </tableStyle>
    <tableStyle name="dashboard 3-kurs00101-style 3" pivot="0" count="2" xr9:uid="{00000000-0011-0000-FFFF-FFFF1B000000}">
      <tableStyleElement type="firstRowStripe" dxfId="25"/>
      <tableStyleElement type="secondRowStripe" dxfId="24"/>
    </tableStyle>
    <tableStyle name="dashboard 3-kurs00101-style 4" pivot="0" count="2" xr9:uid="{00000000-0011-0000-FFFF-FFFF1C000000}">
      <tableStyleElement type="firstRowStripe" dxfId="23"/>
      <tableStyleElement type="secondRowStripe" dxfId="22"/>
    </tableStyle>
    <tableStyle name="dashboard 3-kurs00101-style 5" pivot="0" count="2" xr9:uid="{00000000-0011-0000-FFFF-FFFF1D000000}">
      <tableStyleElement type="firstRowStripe" dxfId="21"/>
      <tableStyleElement type="secondRowStripe" dxfId="20"/>
    </tableStyle>
    <tableStyle name="dashboard 3-kurs00101-style 6" pivot="0" count="2" xr9:uid="{00000000-0011-0000-FFFF-FFFF1E000000}">
      <tableStyleElement type="firstRowStripe" dxfId="19"/>
      <tableStyleElement type="secondRowStripe" dxfId="18"/>
    </tableStyle>
    <tableStyle name="dashboard 3-kurs00101-style 7" pivot="0" count="2" xr9:uid="{00000000-0011-0000-FFFF-FFFF1F000000}">
      <tableStyleElement type="firstRowStripe" dxfId="17"/>
      <tableStyleElement type="secondRowStripe" dxfId="16"/>
    </tableStyle>
    <tableStyle name="dashboard 3-kurs00101-style 8" pivot="0" count="2" xr9:uid="{00000000-0011-0000-FFFF-FFFF20000000}">
      <tableStyleElement type="firstRowStripe" dxfId="15"/>
      <tableStyleElement type="secondRowStripe" dxfId="14"/>
    </tableStyle>
    <tableStyle name="dashboard 3-kurs00101-style 9" pivot="0" count="2" xr9:uid="{00000000-0011-0000-FFFF-FFFF21000000}">
      <tableStyleElement type="firstRowStripe" dxfId="13"/>
      <tableStyleElement type="secondRowStripe" dxfId="12"/>
    </tableStyle>
    <tableStyle name="dashboard 3-kurs00101-style 10" pivot="0" count="2" xr9:uid="{00000000-0011-0000-FFFF-FFFF22000000}">
      <tableStyleElement type="firstRowStripe" dxfId="11"/>
      <tableStyleElement type="secondRowStripe" dxfId="10"/>
    </tableStyle>
    <tableStyle name="dashboard 3-kurs00101-style 11" pivot="0" count="2" xr9:uid="{00000000-0011-0000-FFFF-FFFF23000000}">
      <tableStyleElement type="firstRowStripe" dxfId="9"/>
      <tableStyleElement type="secondRowStripe" dxfId="8"/>
    </tableStyle>
    <tableStyle name="dashboard 3-kurs00101-style 12" pivot="0" count="2" xr9:uid="{00000000-0011-0000-FFFF-FFFF24000000}">
      <tableStyleElement type="firstRowStripe" dxfId="7"/>
      <tableStyleElement type="secondRowStripe" dxfId="6"/>
    </tableStyle>
    <tableStyle name="dashboard 3-kurs00101-style 13" pivot="0" count="2" xr9:uid="{00000000-0011-0000-FFFF-FFFF25000000}"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493"/>
  <sheetViews>
    <sheetView tabSelected="1" workbookViewId="0">
      <pane ySplit="3" topLeftCell="A4" activePane="bottomLeft" state="frozen"/>
      <selection pane="bottomLeft" activeCell="E18" sqref="E18"/>
    </sheetView>
  </sheetViews>
  <sheetFormatPr defaultColWidth="12.5703125" defaultRowHeight="15.75" customHeight="1" x14ac:dyDescent="0.2"/>
  <cols>
    <col min="1" max="1" width="5.140625" customWidth="1"/>
    <col min="2" max="2" width="44.5703125" customWidth="1"/>
    <col min="3" max="3" width="11" customWidth="1"/>
    <col min="4" max="4" width="9.7109375" customWidth="1"/>
    <col min="5" max="5" width="9.85546875" customWidth="1"/>
    <col min="6" max="6" width="12.140625" customWidth="1"/>
    <col min="7" max="19" width="7.42578125" customWidth="1"/>
    <col min="20" max="20" width="9.7109375" customWidth="1"/>
    <col min="21" max="21" width="20.42578125" customWidth="1"/>
    <col min="22" max="22" width="21.28515625" customWidth="1"/>
  </cols>
  <sheetData>
    <row r="1" spans="1:53" ht="30" x14ac:dyDescent="0.2">
      <c r="A1" s="24" t="s">
        <v>0</v>
      </c>
      <c r="B1" s="24" t="s">
        <v>1</v>
      </c>
      <c r="C1" s="27" t="s">
        <v>2</v>
      </c>
      <c r="D1" s="24" t="s">
        <v>3</v>
      </c>
      <c r="E1" s="24" t="s">
        <v>4</v>
      </c>
      <c r="F1" s="24" t="s">
        <v>5</v>
      </c>
      <c r="G1" s="22" t="s">
        <v>6</v>
      </c>
      <c r="H1" s="23"/>
      <c r="I1" s="22" t="s">
        <v>7</v>
      </c>
      <c r="J1" s="23"/>
      <c r="K1" s="22" t="s">
        <v>8</v>
      </c>
      <c r="L1" s="23"/>
      <c r="M1" s="1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ht="15" x14ac:dyDescent="0.2">
      <c r="A2" s="25"/>
      <c r="B2" s="25"/>
      <c r="C2" s="25"/>
      <c r="D2" s="25"/>
      <c r="E2" s="25"/>
      <c r="F2" s="25"/>
      <c r="G2" s="2" t="s">
        <v>17</v>
      </c>
      <c r="H2" s="2" t="s">
        <v>18</v>
      </c>
      <c r="I2" s="2" t="s">
        <v>17</v>
      </c>
      <c r="J2" s="2" t="s">
        <v>18</v>
      </c>
      <c r="K2" s="2" t="s">
        <v>17</v>
      </c>
      <c r="L2" s="2" t="s">
        <v>18</v>
      </c>
      <c r="M2" s="1" t="s">
        <v>18</v>
      </c>
      <c r="N2" s="2" t="s">
        <v>18</v>
      </c>
      <c r="O2" s="2" t="s">
        <v>18</v>
      </c>
      <c r="P2" s="2" t="s">
        <v>18</v>
      </c>
      <c r="Q2" s="2" t="s">
        <v>18</v>
      </c>
      <c r="R2" s="2" t="s">
        <v>18</v>
      </c>
      <c r="S2" s="4" t="s">
        <v>18</v>
      </c>
      <c r="T2" s="2" t="s">
        <v>18</v>
      </c>
      <c r="U2" s="2" t="s">
        <v>5</v>
      </c>
      <c r="V2" s="2" t="s">
        <v>19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ht="22.5" customHeight="1" x14ac:dyDescent="0.2">
      <c r="A3" s="26"/>
      <c r="B3" s="26"/>
      <c r="C3" s="26"/>
      <c r="D3" s="26"/>
      <c r="E3" s="26"/>
      <c r="F3" s="26"/>
      <c r="G3" s="6"/>
      <c r="H3" s="7">
        <v>40</v>
      </c>
      <c r="I3" s="7"/>
      <c r="J3" s="7">
        <v>20</v>
      </c>
      <c r="K3" s="6"/>
      <c r="L3" s="7">
        <v>15</v>
      </c>
      <c r="M3" s="8" t="s">
        <v>20</v>
      </c>
      <c r="N3" s="7">
        <v>5</v>
      </c>
      <c r="O3" s="7">
        <v>10</v>
      </c>
      <c r="P3" s="7">
        <v>100</v>
      </c>
      <c r="Q3" s="7">
        <v>-20</v>
      </c>
      <c r="R3" s="7">
        <v>10</v>
      </c>
      <c r="S3" s="7">
        <v>10</v>
      </c>
      <c r="T3" s="6"/>
      <c r="U3" s="6"/>
      <c r="V3" s="6"/>
    </row>
    <row r="4" spans="1:53" ht="14.25" x14ac:dyDescent="0.2">
      <c r="A4" s="9">
        <v>1</v>
      </c>
      <c r="B4" s="10" t="s">
        <v>21</v>
      </c>
      <c r="C4" s="11"/>
      <c r="D4" s="12" t="s">
        <v>22</v>
      </c>
      <c r="E4" s="12">
        <v>250206</v>
      </c>
      <c r="F4" s="9" t="s">
        <v>23</v>
      </c>
      <c r="G4" s="13"/>
      <c r="H4" s="9">
        <f t="shared" si="0"/>
        <v>0</v>
      </c>
      <c r="I4" s="13">
        <v>0.96</v>
      </c>
      <c r="J4" s="9">
        <f t="shared" si="0"/>
        <v>19.2</v>
      </c>
      <c r="K4" s="13">
        <f ca="1">IFERROR(__xludf.DUMMYFUNCTION("IFERROR(VLOOKUP(C4, IMPORTRANGE(""1d1Fa-2TCOP1ds6hx5qsY8N5rmHAlFFQbVr8unP0HU3E"", ""'Assigment 1-kurs'!C:ab""), 26, 0), 0)"),0)</f>
        <v>0</v>
      </c>
      <c r="L4" s="9">
        <f t="shared" ca="1" si="0"/>
        <v>0</v>
      </c>
      <c r="M4" s="14">
        <f ca="1">IFERROR(__xludf.DUMMYFUNCTION("IFERROR(VLOOKUP(C4, IMPORTRANGE(""1d1Fa-2TCOP1ds6hx5qsY8N5rmHAlFFQbVr8unP0HU3E"", ""'Activity 1-kurs'!C:z""), 24, 0), 0)"),10)</f>
        <v>10</v>
      </c>
      <c r="N4" s="9">
        <f ca="1">IFERROR(__xludf.DUMMYFUNCTION("IFERROR(IFNA(VLOOKUP(C4, IMPORTRANGE(""1d1Fa-2TCOP1ds6hx5qsY8N5rmHAlFFQbVr8unP0HU3E"", ""'Tyutor 1-kurs'!C:L""), 10, FALSE), """"), 0)"),0)</f>
        <v>0</v>
      </c>
      <c r="O4" s="9"/>
      <c r="P4" s="15">
        <f t="shared" ca="1" si="0"/>
        <v>29.2</v>
      </c>
      <c r="Q4" s="16">
        <f ca="1">IFERROR(__xludf.DUMMYFUNCTION("IFERROR(VLOOKUP(C4, IMPORTRANGE(""1d1Fa-2TCOP1ds6hx5qsY8N5rmHAlFFQbVr8unP0HU3E"", ""'Penalty 1-kurs'!C:ah""), 32, 0), 0)"),0)</f>
        <v>0</v>
      </c>
      <c r="R4" s="16">
        <f ca="1">IFERROR(__xludf.DUMMYFUNCTION("IFERROR(VLOOKUP(C4, IMPORTRANGE(""1d1Fa-2TCOP1ds6hx5qsY8N5rmHAlFFQbVr8unP0HU3E"", ""'Penalty 1-kurs'!C:BE""), 55, 0), 0)"),0)</f>
        <v>0</v>
      </c>
      <c r="S4" s="16" t="str">
        <f ca="1">IFERROR(__xludf.DUMMYFUNCTION("IFERROR(VLOOKUP(C4, IMPORTRANGE(""1d1Fa-2TCOP1ds6hx5qsY8N5rmHAlFFQbVr8unP0HU3E"", ""'Penalty 1-kurs'!C:BG""), 57, 0), 0)"),"")</f>
        <v/>
      </c>
      <c r="T4" s="15" t="e">
        <f t="shared" ca="1" si="0"/>
        <v>#VALUE!</v>
      </c>
      <c r="U4" s="17" t="str">
        <f t="shared" si="0"/>
        <v>Bekor qilindi (Akademik)</v>
      </c>
      <c r="V4" s="17" t="e">
        <f t="shared" ca="1" si="0"/>
        <v>#VALUE!</v>
      </c>
    </row>
    <row r="5" spans="1:53" ht="14.25" x14ac:dyDescent="0.2">
      <c r="A5" s="9">
        <f t="shared" si="0"/>
        <v>2</v>
      </c>
      <c r="B5" s="18" t="s">
        <v>24</v>
      </c>
      <c r="C5" s="19"/>
      <c r="D5" s="12" t="s">
        <v>22</v>
      </c>
      <c r="E5" s="12">
        <v>250042</v>
      </c>
      <c r="F5" s="9" t="s">
        <v>23</v>
      </c>
      <c r="G5" s="13"/>
      <c r="H5" s="9">
        <f t="shared" si="0"/>
        <v>0</v>
      </c>
      <c r="I5" s="13">
        <v>1</v>
      </c>
      <c r="J5" s="9">
        <f t="shared" si="0"/>
        <v>20</v>
      </c>
      <c r="K5" s="13">
        <f ca="1">IFERROR(__xludf.DUMMYFUNCTION("IFERROR(VLOOKUP(C5, IMPORTRANGE(""1d1Fa-2TCOP1ds6hx5qsY8N5rmHAlFFQbVr8unP0HU3E"", ""'Assigment 1-kurs'!C:ab""), 26, 0), 0)"),0)</f>
        <v>0</v>
      </c>
      <c r="L5" s="9">
        <f t="shared" ca="1" si="0"/>
        <v>0</v>
      </c>
      <c r="M5" s="14">
        <f ca="1">IFERROR(__xludf.DUMMYFUNCTION("IFERROR(VLOOKUP(C5, IMPORTRANGE(""1d1Fa-2TCOP1ds6hx5qsY8N5rmHAlFFQbVr8unP0HU3E"", ""'Activity 1-kurs'!C:z""), 24, 0), 0)"),0)</f>
        <v>0</v>
      </c>
      <c r="N5" s="9">
        <f ca="1">IFERROR(__xludf.DUMMYFUNCTION("IFERROR(IFNA(VLOOKUP(C5, IMPORTRANGE(""1d1Fa-2TCOP1ds6hx5qsY8N5rmHAlFFQbVr8unP0HU3E"", ""'Tyutor 1-kurs'!C:L""), 10, FALSE), """"), 0)"),2.75)</f>
        <v>2.75</v>
      </c>
      <c r="O5" s="9"/>
      <c r="P5" s="15">
        <f t="shared" ca="1" si="0"/>
        <v>22.75</v>
      </c>
      <c r="Q5" s="16">
        <f ca="1">IFERROR(__xludf.DUMMYFUNCTION("IFERROR(VLOOKUP(C5, IMPORTRANGE(""1d1Fa-2TCOP1ds6hx5qsY8N5rmHAlFFQbVr8unP0HU3E"", ""'Penalty 1-kurs'!C:ah""), 32, 0), 0)"),0)</f>
        <v>0</v>
      </c>
      <c r="R5" s="16">
        <f ca="1">IFERROR(__xludf.DUMMYFUNCTION("IFERROR(VLOOKUP(C5, IMPORTRANGE(""1d1Fa-2TCOP1ds6hx5qsY8N5rmHAlFFQbVr8unP0HU3E"", ""'Penalty 1-kurs'!C:BE""), 55, 0), 0)"),0)</f>
        <v>0</v>
      </c>
      <c r="S5" s="16" t="str">
        <f ca="1">IFERROR(__xludf.DUMMYFUNCTION("IFERROR(VLOOKUP(C5, IMPORTRANGE(""1d1Fa-2TCOP1ds6hx5qsY8N5rmHAlFFQbVr8unP0HU3E"", ""'Penalty 1-kurs'!C:BG""), 57, 0), 0)"),"")</f>
        <v/>
      </c>
      <c r="T5" s="15" t="e">
        <f t="shared" ca="1" si="0"/>
        <v>#VALUE!</v>
      </c>
      <c r="U5" s="17" t="str">
        <f t="shared" si="0"/>
        <v>Bekor qilindi (Akademik)</v>
      </c>
      <c r="V5" s="17" t="e">
        <f t="shared" ca="1" si="0"/>
        <v>#VALUE!</v>
      </c>
    </row>
    <row r="6" spans="1:53" ht="14.25" x14ac:dyDescent="0.2">
      <c r="A6" s="9">
        <f t="shared" si="0"/>
        <v>3</v>
      </c>
      <c r="B6" s="18" t="s">
        <v>25</v>
      </c>
      <c r="C6" s="11"/>
      <c r="D6" s="12" t="s">
        <v>26</v>
      </c>
      <c r="E6" s="12">
        <v>250125</v>
      </c>
      <c r="F6" s="9" t="s">
        <v>23</v>
      </c>
      <c r="G6" s="13"/>
      <c r="H6" s="9">
        <f t="shared" si="0"/>
        <v>0</v>
      </c>
      <c r="I6" s="13">
        <v>0.99</v>
      </c>
      <c r="J6" s="9">
        <f t="shared" si="0"/>
        <v>19.8</v>
      </c>
      <c r="K6" s="13">
        <f ca="1">IFERROR(__xludf.DUMMYFUNCTION("IFERROR(VLOOKUP(C6, IMPORTRANGE(""1d1Fa-2TCOP1ds6hx5qsY8N5rmHAlFFQbVr8unP0HU3E"", ""'Assigment 1-kurs'!C:ab""), 26, 0), 0)"),0)</f>
        <v>0</v>
      </c>
      <c r="L6" s="9">
        <f t="shared" ca="1" si="0"/>
        <v>0</v>
      </c>
      <c r="M6" s="14">
        <f ca="1">IFERROR(__xludf.DUMMYFUNCTION("IFERROR(VLOOKUP(C6, IMPORTRANGE(""1d1Fa-2TCOP1ds6hx5qsY8N5rmHAlFFQbVr8unP0HU3E"", ""'Activity 1-kurs'!C:z""), 24, 0), 0)"),0)</f>
        <v>0</v>
      </c>
      <c r="N6" s="9">
        <f ca="1">IFERROR(__xludf.DUMMYFUNCTION("IFERROR(IFNA(VLOOKUP(C6, IMPORTRANGE(""1d1Fa-2TCOP1ds6hx5qsY8N5rmHAlFFQbVr8unP0HU3E"", ""'Tyutor 1-kurs'!C:L""), 10, FALSE), """"), 0)"),1.75)</f>
        <v>1.75</v>
      </c>
      <c r="O6" s="9"/>
      <c r="P6" s="15">
        <f t="shared" ca="1" si="0"/>
        <v>21.55</v>
      </c>
      <c r="Q6" s="16">
        <f ca="1">IFERROR(__xludf.DUMMYFUNCTION("IFERROR(VLOOKUP(C6, IMPORTRANGE(""1d1Fa-2TCOP1ds6hx5qsY8N5rmHAlFFQbVr8unP0HU3E"", ""'Penalty 1-kurs'!C:ah""), 32, 0), 0)"),0)</f>
        <v>0</v>
      </c>
      <c r="R6" s="16">
        <f ca="1">IFERROR(__xludf.DUMMYFUNCTION("IFERROR(VLOOKUP(C6, IMPORTRANGE(""1d1Fa-2TCOP1ds6hx5qsY8N5rmHAlFFQbVr8unP0HU3E"", ""'Penalty 1-kurs'!C:BE""), 55, 0), 0)"),0)</f>
        <v>0</v>
      </c>
      <c r="S6" s="16" t="str">
        <f ca="1">IFERROR(__xludf.DUMMYFUNCTION("IFERROR(VLOOKUP(C6, IMPORTRANGE(""1d1Fa-2TCOP1ds6hx5qsY8N5rmHAlFFQbVr8unP0HU3E"", ""'Penalty 1-kurs'!C:BG""), 57, 0), 0)"),"")</f>
        <v/>
      </c>
      <c r="T6" s="15" t="e">
        <f t="shared" ca="1" si="0"/>
        <v>#VALUE!</v>
      </c>
      <c r="U6" s="17" t="str">
        <f t="shared" si="0"/>
        <v>Bekor qilindi (Akademik)</v>
      </c>
      <c r="V6" s="17" t="e">
        <f t="shared" ca="1" si="0"/>
        <v>#VALUE!</v>
      </c>
    </row>
    <row r="7" spans="1:53" ht="14.25" x14ac:dyDescent="0.2">
      <c r="A7" s="9">
        <f t="shared" si="0"/>
        <v>4</v>
      </c>
      <c r="B7" s="18" t="s">
        <v>27</v>
      </c>
      <c r="C7" s="19"/>
      <c r="D7" s="12" t="s">
        <v>26</v>
      </c>
      <c r="E7" s="12">
        <v>250121</v>
      </c>
      <c r="F7" s="9" t="s">
        <v>23</v>
      </c>
      <c r="G7" s="13"/>
      <c r="H7" s="9">
        <f t="shared" si="0"/>
        <v>0</v>
      </c>
      <c r="I7" s="13">
        <v>0.99</v>
      </c>
      <c r="J7" s="9">
        <f t="shared" si="0"/>
        <v>19.8</v>
      </c>
      <c r="K7" s="13">
        <f ca="1">IFERROR(__xludf.DUMMYFUNCTION("IFERROR(VLOOKUP(C7, IMPORTRANGE(""1d1Fa-2TCOP1ds6hx5qsY8N5rmHAlFFQbVr8unP0HU3E"", ""'Assigment 1-kurs'!C:ab""), 26, 0), 0)"),0)</f>
        <v>0</v>
      </c>
      <c r="L7" s="9">
        <f t="shared" ca="1" si="0"/>
        <v>0</v>
      </c>
      <c r="M7" s="14">
        <f ca="1">IFERROR(__xludf.DUMMYFUNCTION("IFERROR(VLOOKUP(C7, IMPORTRANGE(""1d1Fa-2TCOP1ds6hx5qsY8N5rmHAlFFQbVr8unP0HU3E"", ""'Activity 1-kurs'!C:z""), 24, 0), 0)"),0)</f>
        <v>0</v>
      </c>
      <c r="N7" s="9">
        <f ca="1">IFERROR(__xludf.DUMMYFUNCTION("IFERROR(IFNA(VLOOKUP(C7, IMPORTRANGE(""1d1Fa-2TCOP1ds6hx5qsY8N5rmHAlFFQbVr8unP0HU3E"", ""'Tyutor 1-kurs'!C:L""), 10, FALSE), """"), 0)"),1.75)</f>
        <v>1.75</v>
      </c>
      <c r="O7" s="9"/>
      <c r="P7" s="15">
        <f t="shared" ca="1" si="0"/>
        <v>21.55</v>
      </c>
      <c r="Q7" s="16">
        <f ca="1">IFERROR(__xludf.DUMMYFUNCTION("IFERROR(VLOOKUP(C7, IMPORTRANGE(""1d1Fa-2TCOP1ds6hx5qsY8N5rmHAlFFQbVr8unP0HU3E"", ""'Penalty 1-kurs'!C:ah""), 32, 0), 0)"),0)</f>
        <v>0</v>
      </c>
      <c r="R7" s="16">
        <f ca="1">IFERROR(__xludf.DUMMYFUNCTION("IFERROR(VLOOKUP(C7, IMPORTRANGE(""1d1Fa-2TCOP1ds6hx5qsY8N5rmHAlFFQbVr8unP0HU3E"", ""'Penalty 1-kurs'!C:BE""), 55, 0), 0)"),0)</f>
        <v>0</v>
      </c>
      <c r="S7" s="16" t="str">
        <f ca="1">IFERROR(__xludf.DUMMYFUNCTION("IFERROR(VLOOKUP(C7, IMPORTRANGE(""1d1Fa-2TCOP1ds6hx5qsY8N5rmHAlFFQbVr8unP0HU3E"", ""'Penalty 1-kurs'!C:BG""), 57, 0), 0)"),"")</f>
        <v/>
      </c>
      <c r="T7" s="15" t="e">
        <f t="shared" ca="1" si="0"/>
        <v>#VALUE!</v>
      </c>
      <c r="U7" s="17" t="str">
        <f t="shared" si="0"/>
        <v>Bekor qilindi (Akademik)</v>
      </c>
      <c r="V7" s="17" t="e">
        <f t="shared" ca="1" si="0"/>
        <v>#VALUE!</v>
      </c>
    </row>
    <row r="8" spans="1:53" ht="14.25" x14ac:dyDescent="0.2">
      <c r="A8" s="9">
        <f t="shared" si="0"/>
        <v>5</v>
      </c>
      <c r="B8" s="18" t="s">
        <v>28</v>
      </c>
      <c r="C8" s="11"/>
      <c r="D8" s="12" t="s">
        <v>29</v>
      </c>
      <c r="E8" s="12">
        <v>250417</v>
      </c>
      <c r="F8" s="9" t="s">
        <v>23</v>
      </c>
      <c r="G8" s="13"/>
      <c r="H8" s="9">
        <f t="shared" si="0"/>
        <v>0</v>
      </c>
      <c r="I8" s="13">
        <v>1</v>
      </c>
      <c r="J8" s="9">
        <f t="shared" si="0"/>
        <v>20</v>
      </c>
      <c r="K8" s="13">
        <f ca="1">IFERROR(__xludf.DUMMYFUNCTION("IFERROR(VLOOKUP(C8, IMPORTRANGE(""1d1Fa-2TCOP1ds6hx5qsY8N5rmHAlFFQbVr8unP0HU3E"", ""'Assigment 1-kurs'!C:ab""), 26, 0), 0)"),0)</f>
        <v>0</v>
      </c>
      <c r="L8" s="9">
        <f t="shared" ca="1" si="0"/>
        <v>0</v>
      </c>
      <c r="M8" s="14">
        <f ca="1">IFERROR(__xludf.DUMMYFUNCTION("IFERROR(VLOOKUP(C8, IMPORTRANGE(""1d1Fa-2TCOP1ds6hx5qsY8N5rmHAlFFQbVr8unP0HU3E"", ""'Activity 1-kurs'!C:z""), 24, 0), 0)"),0)</f>
        <v>0</v>
      </c>
      <c r="N8" s="9">
        <f ca="1">IFERROR(__xludf.DUMMYFUNCTION("IFERROR(IFNA(VLOOKUP(C8, IMPORTRANGE(""1d1Fa-2TCOP1ds6hx5qsY8N5rmHAlFFQbVr8unP0HU3E"", ""'Tyutor 1-kurs'!C:L""), 10, FALSE), """"), 0)"),1.25)</f>
        <v>1.25</v>
      </c>
      <c r="O8" s="9"/>
      <c r="P8" s="15">
        <f t="shared" ca="1" si="0"/>
        <v>21.25</v>
      </c>
      <c r="Q8" s="16">
        <f ca="1">IFERROR(__xludf.DUMMYFUNCTION("IFERROR(VLOOKUP(C8, IMPORTRANGE(""1d1Fa-2TCOP1ds6hx5qsY8N5rmHAlFFQbVr8unP0HU3E"", ""'Penalty 1-kurs'!C:ah""), 32, 0), 0)"),0)</f>
        <v>0</v>
      </c>
      <c r="R8" s="16">
        <f ca="1">IFERROR(__xludf.DUMMYFUNCTION("IFERROR(VLOOKUP(C8, IMPORTRANGE(""1d1Fa-2TCOP1ds6hx5qsY8N5rmHAlFFQbVr8unP0HU3E"", ""'Penalty 1-kurs'!C:BE""), 55, 0), 0)"),0)</f>
        <v>0</v>
      </c>
      <c r="S8" s="16" t="str">
        <f ca="1">IFERROR(__xludf.DUMMYFUNCTION("IFERROR(VLOOKUP(C8, IMPORTRANGE(""1d1Fa-2TCOP1ds6hx5qsY8N5rmHAlFFQbVr8unP0HU3E"", ""'Penalty 1-kurs'!C:BG""), 57, 0), 0)"),"")</f>
        <v/>
      </c>
      <c r="T8" s="15" t="e">
        <f t="shared" ca="1" si="0"/>
        <v>#VALUE!</v>
      </c>
      <c r="U8" s="17" t="str">
        <f t="shared" si="0"/>
        <v>Bekor qilindi (Akademik)</v>
      </c>
      <c r="V8" s="17" t="e">
        <f t="shared" ca="1" si="0"/>
        <v>#VALUE!</v>
      </c>
    </row>
    <row r="9" spans="1:53" ht="14.25" x14ac:dyDescent="0.2">
      <c r="A9" s="9">
        <f t="shared" si="0"/>
        <v>6</v>
      </c>
      <c r="B9" s="18" t="s">
        <v>30</v>
      </c>
      <c r="C9" s="11"/>
      <c r="D9" s="12" t="s">
        <v>26</v>
      </c>
      <c r="E9" s="12">
        <v>250298</v>
      </c>
      <c r="F9" s="9" t="s">
        <v>23</v>
      </c>
      <c r="G9" s="13"/>
      <c r="H9" s="9">
        <f t="shared" si="0"/>
        <v>0</v>
      </c>
      <c r="I9" s="13">
        <v>0.97</v>
      </c>
      <c r="J9" s="9">
        <f t="shared" si="0"/>
        <v>19.399999999999999</v>
      </c>
      <c r="K9" s="13">
        <f ca="1">IFERROR(__xludf.DUMMYFUNCTION("IFERROR(VLOOKUP(C9, IMPORTRANGE(""1d1Fa-2TCOP1ds6hx5qsY8N5rmHAlFFQbVr8unP0HU3E"", ""'Assigment 1-kurs'!C:ab""), 26, 0), 0)"),0)</f>
        <v>0</v>
      </c>
      <c r="L9" s="9">
        <f t="shared" ca="1" si="0"/>
        <v>0</v>
      </c>
      <c r="M9" s="14">
        <f ca="1">IFERROR(__xludf.DUMMYFUNCTION("IFERROR(VLOOKUP(C9, IMPORTRANGE(""1d1Fa-2TCOP1ds6hx5qsY8N5rmHAlFFQbVr8unP0HU3E"", ""'Activity 1-kurs'!C:z""), 24, 0), 0)"),0)</f>
        <v>0</v>
      </c>
      <c r="N9" s="9">
        <f ca="1">IFERROR(__xludf.DUMMYFUNCTION("IFERROR(IFNA(VLOOKUP(C9, IMPORTRANGE(""1d1Fa-2TCOP1ds6hx5qsY8N5rmHAlFFQbVr8unP0HU3E"", ""'Tyutor 1-kurs'!C:L""), 10, FALSE), """"), 0)"),1.75)</f>
        <v>1.75</v>
      </c>
      <c r="O9" s="9"/>
      <c r="P9" s="15">
        <f t="shared" ca="1" si="0"/>
        <v>21.15</v>
      </c>
      <c r="Q9" s="16">
        <f ca="1">IFERROR(__xludf.DUMMYFUNCTION("IFERROR(VLOOKUP(C9, IMPORTRANGE(""1d1Fa-2TCOP1ds6hx5qsY8N5rmHAlFFQbVr8unP0HU3E"", ""'Penalty 1-kurs'!C:ah""), 32, 0), 0)"),0)</f>
        <v>0</v>
      </c>
      <c r="R9" s="16">
        <f ca="1">IFERROR(__xludf.DUMMYFUNCTION("IFERROR(VLOOKUP(C9, IMPORTRANGE(""1d1Fa-2TCOP1ds6hx5qsY8N5rmHAlFFQbVr8unP0HU3E"", ""'Penalty 1-kurs'!C:BE""), 55, 0), 0)"),0)</f>
        <v>0</v>
      </c>
      <c r="S9" s="16" t="str">
        <f ca="1">IFERROR(__xludf.DUMMYFUNCTION("IFERROR(VLOOKUP(C9, IMPORTRANGE(""1d1Fa-2TCOP1ds6hx5qsY8N5rmHAlFFQbVr8unP0HU3E"", ""'Penalty 1-kurs'!C:BG""), 57, 0), 0)"),"")</f>
        <v/>
      </c>
      <c r="T9" s="15" t="e">
        <f t="shared" ca="1" si="0"/>
        <v>#VALUE!</v>
      </c>
      <c r="U9" s="17" t="str">
        <f t="shared" si="0"/>
        <v>Bekor qilindi (Akademik)</v>
      </c>
      <c r="V9" s="17" t="e">
        <f t="shared" ca="1" si="0"/>
        <v>#VALUE!</v>
      </c>
    </row>
    <row r="10" spans="1:53" ht="14.25" x14ac:dyDescent="0.2">
      <c r="A10" s="9">
        <f t="shared" si="0"/>
        <v>7</v>
      </c>
      <c r="B10" s="10" t="s">
        <v>31</v>
      </c>
      <c r="C10" s="20"/>
      <c r="D10" s="12" t="s">
        <v>32</v>
      </c>
      <c r="E10" s="12">
        <v>250368</v>
      </c>
      <c r="F10" s="9" t="s">
        <v>33</v>
      </c>
      <c r="G10" s="13"/>
      <c r="H10" s="9">
        <f t="shared" si="0"/>
        <v>0</v>
      </c>
      <c r="I10" s="13">
        <v>0.99</v>
      </c>
      <c r="J10" s="9">
        <f t="shared" si="0"/>
        <v>19.8</v>
      </c>
      <c r="K10" s="13">
        <f ca="1">IFERROR(__xludf.DUMMYFUNCTION("IFERROR(VLOOKUP(C10, IMPORTRANGE(""1d1Fa-2TCOP1ds6hx5qsY8N5rmHAlFFQbVr8unP0HU3E"", ""'Assigment 1-kurs'!C:ab""), 26, 0), 0)"),0)</f>
        <v>0</v>
      </c>
      <c r="L10" s="9">
        <f t="shared" ca="1" si="0"/>
        <v>0</v>
      </c>
      <c r="M10" s="14">
        <f ca="1">IFERROR(__xludf.DUMMYFUNCTION("IFERROR(VLOOKUP(C10, IMPORTRANGE(""1d1Fa-2TCOP1ds6hx5qsY8N5rmHAlFFQbVr8unP0HU3E"", ""'Activity 1-kurs'!C:z""), 24, 0), 0)"),0)</f>
        <v>0</v>
      </c>
      <c r="N10" s="9">
        <f ca="1">IFERROR(__xludf.DUMMYFUNCTION("IFERROR(IFNA(VLOOKUP(C10, IMPORTRANGE(""1d1Fa-2TCOP1ds6hx5qsY8N5rmHAlFFQbVr8unP0HU3E"", ""'Tyutor 1-kurs'!C:L""), 10, FALSE), """"), 0)"),1.25)</f>
        <v>1.25</v>
      </c>
      <c r="O10" s="9"/>
      <c r="P10" s="15">
        <f t="shared" ca="1" si="0"/>
        <v>21.05</v>
      </c>
      <c r="Q10" s="16">
        <f ca="1">IFERROR(__xludf.DUMMYFUNCTION("IFERROR(VLOOKUP(C10, IMPORTRANGE(""1d1Fa-2TCOP1ds6hx5qsY8N5rmHAlFFQbVr8unP0HU3E"", ""'Penalty 1-kurs'!C:ah""), 32, 0), 0)"),0)</f>
        <v>0</v>
      </c>
      <c r="R10" s="16">
        <f ca="1">IFERROR(__xludf.DUMMYFUNCTION("IFERROR(VLOOKUP(C10, IMPORTRANGE(""1d1Fa-2TCOP1ds6hx5qsY8N5rmHAlFFQbVr8unP0HU3E"", ""'Penalty 1-kurs'!C:BE""), 55, 0), 0)"),0)</f>
        <v>0</v>
      </c>
      <c r="S10" s="16" t="str">
        <f ca="1">IFERROR(__xludf.DUMMYFUNCTION("IFERROR(VLOOKUP(C10, IMPORTRANGE(""1d1Fa-2TCOP1ds6hx5qsY8N5rmHAlFFQbVr8unP0HU3E"", ""'Penalty 1-kurs'!C:BG""), 57, 0), 0)"),"")</f>
        <v/>
      </c>
      <c r="T10" s="15" t="e">
        <f t="shared" ca="1" si="0"/>
        <v>#VALUE!</v>
      </c>
      <c r="U10" s="17" t="str">
        <f t="shared" si="0"/>
        <v>Bekor qilindi (Akademik)</v>
      </c>
      <c r="V10" s="17" t="e">
        <f t="shared" ca="1" si="0"/>
        <v>#VALUE!</v>
      </c>
    </row>
    <row r="11" spans="1:53" ht="14.25" x14ac:dyDescent="0.2">
      <c r="A11" s="9">
        <f t="shared" si="0"/>
        <v>8</v>
      </c>
      <c r="B11" s="18" t="s">
        <v>34</v>
      </c>
      <c r="C11" s="11"/>
      <c r="D11" s="12" t="s">
        <v>29</v>
      </c>
      <c r="E11" s="12">
        <v>250434</v>
      </c>
      <c r="F11" s="9" t="s">
        <v>23</v>
      </c>
      <c r="G11" s="13"/>
      <c r="H11" s="9">
        <f t="shared" si="0"/>
        <v>0</v>
      </c>
      <c r="I11" s="13">
        <v>0.99</v>
      </c>
      <c r="J11" s="9">
        <f t="shared" si="0"/>
        <v>19.8</v>
      </c>
      <c r="K11" s="13">
        <f ca="1">IFERROR(__xludf.DUMMYFUNCTION("IFERROR(VLOOKUP(C11, IMPORTRANGE(""1d1Fa-2TCOP1ds6hx5qsY8N5rmHAlFFQbVr8unP0HU3E"", ""'Assigment 1-kurs'!C:ab""), 26, 0), 0)"),0)</f>
        <v>0</v>
      </c>
      <c r="L11" s="9">
        <f t="shared" ca="1" si="0"/>
        <v>0</v>
      </c>
      <c r="M11" s="14">
        <f ca="1">IFERROR(__xludf.DUMMYFUNCTION("IFERROR(VLOOKUP(C11, IMPORTRANGE(""1d1Fa-2TCOP1ds6hx5qsY8N5rmHAlFFQbVr8unP0HU3E"", ""'Activity 1-kurs'!C:z""), 24, 0), 0)"),0)</f>
        <v>0</v>
      </c>
      <c r="N11" s="9">
        <f ca="1">IFERROR(__xludf.DUMMYFUNCTION("IFERROR(IFNA(VLOOKUP(C11, IMPORTRANGE(""1d1Fa-2TCOP1ds6hx5qsY8N5rmHAlFFQbVr8unP0HU3E"", ""'Tyutor 1-kurs'!C:L""), 10, FALSE), """"), 0)"),1.25)</f>
        <v>1.25</v>
      </c>
      <c r="O11" s="9"/>
      <c r="P11" s="15">
        <f t="shared" ca="1" si="0"/>
        <v>21.05</v>
      </c>
      <c r="Q11" s="16">
        <f ca="1">IFERROR(__xludf.DUMMYFUNCTION("IFERROR(VLOOKUP(C11, IMPORTRANGE(""1d1Fa-2TCOP1ds6hx5qsY8N5rmHAlFFQbVr8unP0HU3E"", ""'Penalty 1-kurs'!C:ah""), 32, 0), 0)"),0)</f>
        <v>0</v>
      </c>
      <c r="R11" s="16">
        <f ca="1">IFERROR(__xludf.DUMMYFUNCTION("IFERROR(VLOOKUP(C11, IMPORTRANGE(""1d1Fa-2TCOP1ds6hx5qsY8N5rmHAlFFQbVr8unP0HU3E"", ""'Penalty 1-kurs'!C:BE""), 55, 0), 0)"),0)</f>
        <v>0</v>
      </c>
      <c r="S11" s="16" t="str">
        <f ca="1">IFERROR(__xludf.DUMMYFUNCTION("IFERROR(VLOOKUP(C11, IMPORTRANGE(""1d1Fa-2TCOP1ds6hx5qsY8N5rmHAlFFQbVr8unP0HU3E"", ""'Penalty 1-kurs'!C:BG""), 57, 0), 0)"),"")</f>
        <v/>
      </c>
      <c r="T11" s="15" t="e">
        <f t="shared" ca="1" si="0"/>
        <v>#VALUE!</v>
      </c>
      <c r="U11" s="17" t="str">
        <f t="shared" si="0"/>
        <v>Bekor qilindi (Akademik)</v>
      </c>
      <c r="V11" s="17" t="e">
        <f t="shared" ca="1" si="0"/>
        <v>#VALUE!</v>
      </c>
    </row>
    <row r="12" spans="1:53" ht="12.75" x14ac:dyDescent="0.2">
      <c r="C12" s="21"/>
      <c r="M12" s="21"/>
    </row>
    <row r="13" spans="1:53" ht="12.75" x14ac:dyDescent="0.2">
      <c r="C13" s="21"/>
      <c r="M13" s="21"/>
    </row>
    <row r="14" spans="1:53" ht="12.75" x14ac:dyDescent="0.2">
      <c r="C14" s="21"/>
      <c r="M14" s="21"/>
    </row>
    <row r="15" spans="1:53" ht="12.75" x14ac:dyDescent="0.2">
      <c r="C15" s="21"/>
      <c r="M15" s="21"/>
    </row>
    <row r="16" spans="1:53" ht="12.75" x14ac:dyDescent="0.2">
      <c r="C16" s="21"/>
      <c r="M16" s="21"/>
    </row>
    <row r="17" spans="3:13" ht="12.75" x14ac:dyDescent="0.2">
      <c r="C17" s="21"/>
      <c r="M17" s="21"/>
    </row>
    <row r="18" spans="3:13" ht="12.75" x14ac:dyDescent="0.2">
      <c r="C18" s="21"/>
      <c r="M18" s="21"/>
    </row>
    <row r="19" spans="3:13" ht="12.75" x14ac:dyDescent="0.2">
      <c r="C19" s="21"/>
      <c r="M19" s="21"/>
    </row>
    <row r="20" spans="3:13" ht="12.75" x14ac:dyDescent="0.2">
      <c r="C20" s="21"/>
      <c r="M20" s="21"/>
    </row>
    <row r="21" spans="3:13" ht="12.75" x14ac:dyDescent="0.2">
      <c r="C21" s="21"/>
      <c r="M21" s="21"/>
    </row>
    <row r="22" spans="3:13" ht="12.75" x14ac:dyDescent="0.2">
      <c r="C22" s="21"/>
      <c r="M22" s="21"/>
    </row>
    <row r="23" spans="3:13" ht="12.75" x14ac:dyDescent="0.2">
      <c r="C23" s="21"/>
      <c r="M23" s="21"/>
    </row>
    <row r="24" spans="3:13" ht="12.75" x14ac:dyDescent="0.2">
      <c r="C24" s="21"/>
      <c r="M24" s="21"/>
    </row>
    <row r="25" spans="3:13" ht="12.75" x14ac:dyDescent="0.2">
      <c r="C25" s="21"/>
      <c r="M25" s="21"/>
    </row>
    <row r="26" spans="3:13" ht="12.75" x14ac:dyDescent="0.2">
      <c r="C26" s="21"/>
      <c r="M26" s="21"/>
    </row>
    <row r="27" spans="3:13" ht="12.75" x14ac:dyDescent="0.2">
      <c r="C27" s="21"/>
      <c r="M27" s="21"/>
    </row>
    <row r="28" spans="3:13" ht="12.75" x14ac:dyDescent="0.2">
      <c r="C28" s="21"/>
      <c r="M28" s="21"/>
    </row>
    <row r="29" spans="3:13" ht="12.75" x14ac:dyDescent="0.2">
      <c r="C29" s="21"/>
      <c r="M29" s="21"/>
    </row>
    <row r="30" spans="3:13" ht="12.75" x14ac:dyDescent="0.2">
      <c r="C30" s="21"/>
      <c r="M30" s="21"/>
    </row>
    <row r="31" spans="3:13" ht="12.75" x14ac:dyDescent="0.2">
      <c r="C31" s="21"/>
      <c r="M31" s="21"/>
    </row>
    <row r="32" spans="3:13" ht="12.75" x14ac:dyDescent="0.2">
      <c r="C32" s="21"/>
      <c r="M32" s="21"/>
    </row>
    <row r="33" spans="3:13" ht="12.75" x14ac:dyDescent="0.2">
      <c r="C33" s="21"/>
      <c r="M33" s="21"/>
    </row>
    <row r="34" spans="3:13" ht="12.75" x14ac:dyDescent="0.2">
      <c r="C34" s="21"/>
      <c r="M34" s="21"/>
    </row>
    <row r="35" spans="3:13" ht="12.75" x14ac:dyDescent="0.2">
      <c r="C35" s="21"/>
      <c r="M35" s="21"/>
    </row>
    <row r="36" spans="3:13" ht="12.75" x14ac:dyDescent="0.2">
      <c r="C36" s="21"/>
      <c r="M36" s="21"/>
    </row>
    <row r="37" spans="3:13" ht="12.75" x14ac:dyDescent="0.2">
      <c r="C37" s="21"/>
      <c r="M37" s="21"/>
    </row>
    <row r="38" spans="3:13" ht="12.75" x14ac:dyDescent="0.2">
      <c r="C38" s="21"/>
      <c r="M38" s="21"/>
    </row>
    <row r="39" spans="3:13" ht="12.75" x14ac:dyDescent="0.2">
      <c r="C39" s="21"/>
      <c r="M39" s="21"/>
    </row>
    <row r="40" spans="3:13" ht="12.75" x14ac:dyDescent="0.2">
      <c r="C40" s="21"/>
      <c r="M40" s="21"/>
    </row>
    <row r="41" spans="3:13" ht="12.75" x14ac:dyDescent="0.2">
      <c r="C41" s="21"/>
      <c r="M41" s="21"/>
    </row>
    <row r="42" spans="3:13" ht="12.75" x14ac:dyDescent="0.2">
      <c r="C42" s="21"/>
      <c r="M42" s="21"/>
    </row>
    <row r="43" spans="3:13" ht="12.75" x14ac:dyDescent="0.2">
      <c r="C43" s="21"/>
      <c r="M43" s="21"/>
    </row>
    <row r="44" spans="3:13" ht="12.75" x14ac:dyDescent="0.2">
      <c r="C44" s="21"/>
      <c r="M44" s="21"/>
    </row>
    <row r="45" spans="3:13" ht="12.75" x14ac:dyDescent="0.2">
      <c r="C45" s="21"/>
      <c r="M45" s="21"/>
    </row>
    <row r="46" spans="3:13" ht="12.75" x14ac:dyDescent="0.2">
      <c r="C46" s="21"/>
      <c r="M46" s="21"/>
    </row>
    <row r="47" spans="3:13" ht="12.75" x14ac:dyDescent="0.2">
      <c r="C47" s="21"/>
      <c r="M47" s="21"/>
    </row>
    <row r="48" spans="3:13" ht="12.75" x14ac:dyDescent="0.2">
      <c r="C48" s="21"/>
      <c r="M48" s="21"/>
    </row>
    <row r="49" spans="3:13" ht="12.75" x14ac:dyDescent="0.2">
      <c r="C49" s="21"/>
      <c r="M49" s="21"/>
    </row>
    <row r="50" spans="3:13" ht="12.75" x14ac:dyDescent="0.2">
      <c r="C50" s="21"/>
      <c r="M50" s="21"/>
    </row>
    <row r="51" spans="3:13" ht="12.75" x14ac:dyDescent="0.2">
      <c r="C51" s="21"/>
      <c r="M51" s="21"/>
    </row>
    <row r="52" spans="3:13" ht="12.75" x14ac:dyDescent="0.2">
      <c r="C52" s="21"/>
      <c r="M52" s="21"/>
    </row>
    <row r="53" spans="3:13" ht="12.75" x14ac:dyDescent="0.2">
      <c r="C53" s="21"/>
      <c r="M53" s="21"/>
    </row>
    <row r="54" spans="3:13" ht="12.75" x14ac:dyDescent="0.2">
      <c r="C54" s="21"/>
      <c r="M54" s="21"/>
    </row>
    <row r="55" spans="3:13" ht="12.75" x14ac:dyDescent="0.2">
      <c r="C55" s="21"/>
      <c r="M55" s="21"/>
    </row>
    <row r="56" spans="3:13" ht="12.75" x14ac:dyDescent="0.2">
      <c r="C56" s="21"/>
      <c r="M56" s="21"/>
    </row>
    <row r="57" spans="3:13" ht="12.75" x14ac:dyDescent="0.2">
      <c r="C57" s="21"/>
      <c r="M57" s="21"/>
    </row>
    <row r="58" spans="3:13" ht="12.75" x14ac:dyDescent="0.2">
      <c r="C58" s="21"/>
      <c r="M58" s="21"/>
    </row>
    <row r="59" spans="3:13" ht="12.75" x14ac:dyDescent="0.2">
      <c r="C59" s="21"/>
      <c r="M59" s="21"/>
    </row>
    <row r="60" spans="3:13" ht="12.75" x14ac:dyDescent="0.2">
      <c r="C60" s="21"/>
      <c r="M60" s="21"/>
    </row>
    <row r="61" spans="3:13" ht="12.75" x14ac:dyDescent="0.2">
      <c r="C61" s="21"/>
      <c r="M61" s="21"/>
    </row>
    <row r="62" spans="3:13" ht="12.75" x14ac:dyDescent="0.2">
      <c r="C62" s="21"/>
      <c r="M62" s="21"/>
    </row>
    <row r="63" spans="3:13" ht="12.75" x14ac:dyDescent="0.2">
      <c r="C63" s="21"/>
      <c r="M63" s="21"/>
    </row>
    <row r="64" spans="3:13" ht="12.75" x14ac:dyDescent="0.2">
      <c r="C64" s="21"/>
      <c r="M64" s="21"/>
    </row>
    <row r="65" spans="3:13" ht="12.75" x14ac:dyDescent="0.2">
      <c r="C65" s="21"/>
      <c r="M65" s="21"/>
    </row>
    <row r="66" spans="3:13" ht="12.75" x14ac:dyDescent="0.2">
      <c r="C66" s="21"/>
      <c r="M66" s="21"/>
    </row>
    <row r="67" spans="3:13" ht="12.75" x14ac:dyDescent="0.2">
      <c r="C67" s="21"/>
      <c r="M67" s="21"/>
    </row>
    <row r="68" spans="3:13" ht="12.75" x14ac:dyDescent="0.2">
      <c r="C68" s="21"/>
      <c r="M68" s="21"/>
    </row>
    <row r="69" spans="3:13" ht="12.75" x14ac:dyDescent="0.2">
      <c r="C69" s="21"/>
      <c r="M69" s="21"/>
    </row>
    <row r="70" spans="3:13" ht="12.75" x14ac:dyDescent="0.2">
      <c r="C70" s="21"/>
      <c r="M70" s="21"/>
    </row>
    <row r="71" spans="3:13" ht="12.75" x14ac:dyDescent="0.2">
      <c r="C71" s="21"/>
      <c r="M71" s="21"/>
    </row>
    <row r="72" spans="3:13" ht="12.75" x14ac:dyDescent="0.2">
      <c r="C72" s="21"/>
      <c r="M72" s="21"/>
    </row>
    <row r="73" spans="3:13" ht="12.75" x14ac:dyDescent="0.2">
      <c r="C73" s="21"/>
      <c r="M73" s="21"/>
    </row>
    <row r="74" spans="3:13" ht="12.75" x14ac:dyDescent="0.2">
      <c r="C74" s="21"/>
      <c r="M74" s="21"/>
    </row>
    <row r="75" spans="3:13" ht="12.75" x14ac:dyDescent="0.2">
      <c r="C75" s="21"/>
      <c r="M75" s="21"/>
    </row>
    <row r="76" spans="3:13" ht="12.75" x14ac:dyDescent="0.2">
      <c r="C76" s="21"/>
      <c r="M76" s="21"/>
    </row>
    <row r="77" spans="3:13" ht="12.75" x14ac:dyDescent="0.2">
      <c r="C77" s="21"/>
      <c r="M77" s="21"/>
    </row>
    <row r="78" spans="3:13" ht="12.75" x14ac:dyDescent="0.2">
      <c r="C78" s="21"/>
      <c r="M78" s="21"/>
    </row>
    <row r="79" spans="3:13" ht="12.75" x14ac:dyDescent="0.2">
      <c r="C79" s="21"/>
      <c r="M79" s="21"/>
    </row>
    <row r="80" spans="3:13" ht="12.75" x14ac:dyDescent="0.2">
      <c r="C80" s="21"/>
      <c r="M80" s="21"/>
    </row>
    <row r="81" spans="3:13" ht="12.75" x14ac:dyDescent="0.2">
      <c r="C81" s="21"/>
      <c r="M81" s="21"/>
    </row>
    <row r="82" spans="3:13" ht="12.75" x14ac:dyDescent="0.2">
      <c r="C82" s="21"/>
      <c r="M82" s="21"/>
    </row>
    <row r="83" spans="3:13" ht="12.75" x14ac:dyDescent="0.2">
      <c r="C83" s="21"/>
      <c r="M83" s="21"/>
    </row>
    <row r="84" spans="3:13" ht="12.75" x14ac:dyDescent="0.2">
      <c r="C84" s="21"/>
      <c r="M84" s="21"/>
    </row>
    <row r="85" spans="3:13" ht="12.75" x14ac:dyDescent="0.2">
      <c r="C85" s="21"/>
      <c r="M85" s="21"/>
    </row>
    <row r="86" spans="3:13" ht="12.75" x14ac:dyDescent="0.2">
      <c r="C86" s="21"/>
      <c r="M86" s="21"/>
    </row>
    <row r="87" spans="3:13" ht="12.75" x14ac:dyDescent="0.2">
      <c r="C87" s="21"/>
      <c r="M87" s="21"/>
    </row>
    <row r="88" spans="3:13" ht="12.75" x14ac:dyDescent="0.2">
      <c r="C88" s="21"/>
      <c r="M88" s="21"/>
    </row>
    <row r="89" spans="3:13" ht="12.75" x14ac:dyDescent="0.2">
      <c r="C89" s="21"/>
      <c r="M89" s="21"/>
    </row>
    <row r="90" spans="3:13" ht="12.75" x14ac:dyDescent="0.2">
      <c r="C90" s="21"/>
      <c r="M90" s="21"/>
    </row>
    <row r="91" spans="3:13" ht="12.75" x14ac:dyDescent="0.2">
      <c r="C91" s="21"/>
      <c r="M91" s="21"/>
    </row>
    <row r="92" spans="3:13" ht="12.75" x14ac:dyDescent="0.2">
      <c r="C92" s="21"/>
      <c r="M92" s="21"/>
    </row>
    <row r="93" spans="3:13" ht="12.75" x14ac:dyDescent="0.2">
      <c r="C93" s="21"/>
      <c r="M93" s="21"/>
    </row>
    <row r="94" spans="3:13" ht="12.75" x14ac:dyDescent="0.2">
      <c r="C94" s="21"/>
      <c r="M94" s="21"/>
    </row>
    <row r="95" spans="3:13" ht="12.75" x14ac:dyDescent="0.2">
      <c r="C95" s="21"/>
      <c r="M95" s="21"/>
    </row>
    <row r="96" spans="3:13" ht="12.75" x14ac:dyDescent="0.2">
      <c r="C96" s="21"/>
      <c r="M96" s="21"/>
    </row>
    <row r="97" spans="3:13" ht="12.75" x14ac:dyDescent="0.2">
      <c r="C97" s="21"/>
      <c r="M97" s="21"/>
    </row>
    <row r="98" spans="3:13" ht="12.75" x14ac:dyDescent="0.2">
      <c r="C98" s="21"/>
      <c r="M98" s="21"/>
    </row>
    <row r="99" spans="3:13" ht="12.75" x14ac:dyDescent="0.2">
      <c r="C99" s="21"/>
      <c r="M99" s="21"/>
    </row>
    <row r="100" spans="3:13" ht="12.75" x14ac:dyDescent="0.2">
      <c r="C100" s="21"/>
      <c r="M100" s="21"/>
    </row>
    <row r="101" spans="3:13" ht="12.75" x14ac:dyDescent="0.2">
      <c r="C101" s="21"/>
      <c r="M101" s="21"/>
    </row>
    <row r="102" spans="3:13" ht="12.75" x14ac:dyDescent="0.2">
      <c r="C102" s="21"/>
      <c r="M102" s="21"/>
    </row>
    <row r="103" spans="3:13" ht="12.75" x14ac:dyDescent="0.2">
      <c r="C103" s="21"/>
      <c r="M103" s="21"/>
    </row>
    <row r="104" spans="3:13" ht="12.75" x14ac:dyDescent="0.2">
      <c r="C104" s="21"/>
      <c r="M104" s="21"/>
    </row>
    <row r="105" spans="3:13" ht="12.75" x14ac:dyDescent="0.2">
      <c r="C105" s="21"/>
      <c r="M105" s="21"/>
    </row>
    <row r="106" spans="3:13" ht="12.75" x14ac:dyDescent="0.2">
      <c r="C106" s="21"/>
      <c r="M106" s="21"/>
    </row>
    <row r="107" spans="3:13" ht="12.75" x14ac:dyDescent="0.2">
      <c r="C107" s="21"/>
      <c r="M107" s="21"/>
    </row>
    <row r="108" spans="3:13" ht="12.75" x14ac:dyDescent="0.2">
      <c r="C108" s="21"/>
      <c r="M108" s="21"/>
    </row>
    <row r="109" spans="3:13" ht="12.75" x14ac:dyDescent="0.2">
      <c r="C109" s="21"/>
      <c r="M109" s="21"/>
    </row>
    <row r="110" spans="3:13" ht="12.75" x14ac:dyDescent="0.2">
      <c r="C110" s="21"/>
      <c r="M110" s="21"/>
    </row>
    <row r="111" spans="3:13" ht="12.75" x14ac:dyDescent="0.2">
      <c r="C111" s="21"/>
      <c r="M111" s="21"/>
    </row>
    <row r="112" spans="3:13" ht="12.75" x14ac:dyDescent="0.2">
      <c r="C112" s="21"/>
      <c r="M112" s="21"/>
    </row>
    <row r="113" spans="3:13" ht="12.75" x14ac:dyDescent="0.2">
      <c r="C113" s="21"/>
      <c r="M113" s="21"/>
    </row>
    <row r="114" spans="3:13" ht="12.75" x14ac:dyDescent="0.2">
      <c r="C114" s="21"/>
      <c r="M114" s="21"/>
    </row>
    <row r="115" spans="3:13" ht="12.75" x14ac:dyDescent="0.2">
      <c r="C115" s="21"/>
      <c r="M115" s="21"/>
    </row>
    <row r="116" spans="3:13" ht="12.75" x14ac:dyDescent="0.2">
      <c r="C116" s="21"/>
      <c r="M116" s="21"/>
    </row>
    <row r="117" spans="3:13" ht="12.75" x14ac:dyDescent="0.2">
      <c r="C117" s="21"/>
      <c r="M117" s="21"/>
    </row>
    <row r="118" spans="3:13" ht="12.75" x14ac:dyDescent="0.2">
      <c r="C118" s="21"/>
      <c r="M118" s="21"/>
    </row>
    <row r="119" spans="3:13" ht="12.75" x14ac:dyDescent="0.2">
      <c r="C119" s="21"/>
      <c r="M119" s="21"/>
    </row>
    <row r="120" spans="3:13" ht="12.75" x14ac:dyDescent="0.2">
      <c r="C120" s="21"/>
      <c r="M120" s="21"/>
    </row>
    <row r="121" spans="3:13" ht="12.75" x14ac:dyDescent="0.2">
      <c r="C121" s="21"/>
      <c r="M121" s="21"/>
    </row>
    <row r="122" spans="3:13" ht="12.75" x14ac:dyDescent="0.2">
      <c r="C122" s="21"/>
      <c r="M122" s="21"/>
    </row>
    <row r="123" spans="3:13" ht="12.75" x14ac:dyDescent="0.2">
      <c r="C123" s="21"/>
      <c r="M123" s="21"/>
    </row>
    <row r="124" spans="3:13" ht="12.75" x14ac:dyDescent="0.2">
      <c r="C124" s="21"/>
      <c r="M124" s="21"/>
    </row>
    <row r="125" spans="3:13" ht="12.75" x14ac:dyDescent="0.2">
      <c r="C125" s="21"/>
      <c r="M125" s="21"/>
    </row>
    <row r="126" spans="3:13" ht="12.75" x14ac:dyDescent="0.2">
      <c r="C126" s="21"/>
      <c r="M126" s="21"/>
    </row>
    <row r="127" spans="3:13" ht="12.75" x14ac:dyDescent="0.2">
      <c r="C127" s="21"/>
      <c r="M127" s="21"/>
    </row>
    <row r="128" spans="3:13" ht="12.75" x14ac:dyDescent="0.2">
      <c r="C128" s="21"/>
      <c r="M128" s="21"/>
    </row>
    <row r="129" spans="3:13" ht="12.75" x14ac:dyDescent="0.2">
      <c r="C129" s="21"/>
      <c r="M129" s="21"/>
    </row>
    <row r="130" spans="3:13" ht="12.75" x14ac:dyDescent="0.2">
      <c r="C130" s="21"/>
      <c r="M130" s="21"/>
    </row>
    <row r="131" spans="3:13" ht="12.75" x14ac:dyDescent="0.2">
      <c r="C131" s="21"/>
      <c r="M131" s="21"/>
    </row>
    <row r="132" spans="3:13" ht="12.75" x14ac:dyDescent="0.2">
      <c r="C132" s="21"/>
      <c r="M132" s="21"/>
    </row>
    <row r="133" spans="3:13" ht="12.75" x14ac:dyDescent="0.2">
      <c r="C133" s="21"/>
      <c r="M133" s="21"/>
    </row>
    <row r="134" spans="3:13" ht="12.75" x14ac:dyDescent="0.2">
      <c r="C134" s="21"/>
      <c r="M134" s="21"/>
    </row>
    <row r="135" spans="3:13" ht="12.75" x14ac:dyDescent="0.2">
      <c r="C135" s="21"/>
      <c r="M135" s="21"/>
    </row>
    <row r="136" spans="3:13" ht="12.75" x14ac:dyDescent="0.2">
      <c r="C136" s="21"/>
      <c r="M136" s="21"/>
    </row>
    <row r="137" spans="3:13" ht="12.75" x14ac:dyDescent="0.2">
      <c r="C137" s="21"/>
      <c r="M137" s="21"/>
    </row>
    <row r="138" spans="3:13" ht="12.75" x14ac:dyDescent="0.2">
      <c r="C138" s="21"/>
      <c r="M138" s="21"/>
    </row>
    <row r="139" spans="3:13" ht="12.75" x14ac:dyDescent="0.2">
      <c r="C139" s="21"/>
      <c r="M139" s="21"/>
    </row>
    <row r="140" spans="3:13" ht="12.75" x14ac:dyDescent="0.2">
      <c r="C140" s="21"/>
      <c r="M140" s="21"/>
    </row>
    <row r="141" spans="3:13" ht="12.75" x14ac:dyDescent="0.2">
      <c r="C141" s="21"/>
      <c r="M141" s="21"/>
    </row>
    <row r="142" spans="3:13" ht="12.75" x14ac:dyDescent="0.2">
      <c r="C142" s="21"/>
      <c r="M142" s="21"/>
    </row>
    <row r="143" spans="3:13" ht="12.75" x14ac:dyDescent="0.2">
      <c r="C143" s="21"/>
      <c r="M143" s="21"/>
    </row>
    <row r="144" spans="3:13" ht="12.75" x14ac:dyDescent="0.2">
      <c r="C144" s="21"/>
      <c r="M144" s="21"/>
    </row>
    <row r="145" spans="3:13" ht="12.75" x14ac:dyDescent="0.2">
      <c r="C145" s="21"/>
      <c r="M145" s="21"/>
    </row>
    <row r="146" spans="3:13" ht="12.75" x14ac:dyDescent="0.2">
      <c r="C146" s="21"/>
      <c r="M146" s="21"/>
    </row>
    <row r="147" spans="3:13" ht="12.75" x14ac:dyDescent="0.2">
      <c r="C147" s="21"/>
      <c r="M147" s="21"/>
    </row>
    <row r="148" spans="3:13" ht="12.75" x14ac:dyDescent="0.2">
      <c r="C148" s="21"/>
      <c r="M148" s="21"/>
    </row>
    <row r="149" spans="3:13" ht="12.75" x14ac:dyDescent="0.2">
      <c r="C149" s="21"/>
      <c r="M149" s="21"/>
    </row>
    <row r="150" spans="3:13" ht="12.75" x14ac:dyDescent="0.2">
      <c r="C150" s="21"/>
      <c r="M150" s="21"/>
    </row>
    <row r="151" spans="3:13" ht="12.75" x14ac:dyDescent="0.2">
      <c r="C151" s="21"/>
      <c r="M151" s="21"/>
    </row>
    <row r="152" spans="3:13" ht="12.75" x14ac:dyDescent="0.2">
      <c r="C152" s="21"/>
      <c r="M152" s="21"/>
    </row>
    <row r="153" spans="3:13" ht="12.75" x14ac:dyDescent="0.2">
      <c r="C153" s="21"/>
      <c r="M153" s="21"/>
    </row>
    <row r="154" spans="3:13" ht="12.75" x14ac:dyDescent="0.2">
      <c r="C154" s="21"/>
      <c r="M154" s="21"/>
    </row>
    <row r="155" spans="3:13" ht="12.75" x14ac:dyDescent="0.2">
      <c r="C155" s="21"/>
      <c r="M155" s="21"/>
    </row>
    <row r="156" spans="3:13" ht="12.75" x14ac:dyDescent="0.2">
      <c r="C156" s="21"/>
      <c r="M156" s="21"/>
    </row>
    <row r="157" spans="3:13" ht="12.75" x14ac:dyDescent="0.2">
      <c r="C157" s="21"/>
      <c r="M157" s="21"/>
    </row>
    <row r="158" spans="3:13" ht="12.75" x14ac:dyDescent="0.2">
      <c r="C158" s="21"/>
      <c r="M158" s="21"/>
    </row>
    <row r="159" spans="3:13" ht="12.75" x14ac:dyDescent="0.2">
      <c r="C159" s="21"/>
      <c r="M159" s="21"/>
    </row>
    <row r="160" spans="3:13" ht="12.75" x14ac:dyDescent="0.2">
      <c r="C160" s="21"/>
      <c r="M160" s="21"/>
    </row>
    <row r="161" spans="3:13" ht="12.75" x14ac:dyDescent="0.2">
      <c r="C161" s="21"/>
      <c r="M161" s="21"/>
    </row>
    <row r="162" spans="3:13" ht="12.75" x14ac:dyDescent="0.2">
      <c r="C162" s="21"/>
      <c r="M162" s="21"/>
    </row>
    <row r="163" spans="3:13" ht="12.75" x14ac:dyDescent="0.2">
      <c r="C163" s="21"/>
      <c r="M163" s="21"/>
    </row>
    <row r="164" spans="3:13" ht="12.75" x14ac:dyDescent="0.2">
      <c r="C164" s="21"/>
      <c r="M164" s="21"/>
    </row>
    <row r="165" spans="3:13" ht="12.75" x14ac:dyDescent="0.2">
      <c r="C165" s="21"/>
      <c r="M165" s="21"/>
    </row>
    <row r="166" spans="3:13" ht="12.75" x14ac:dyDescent="0.2">
      <c r="C166" s="21"/>
      <c r="M166" s="21"/>
    </row>
    <row r="167" spans="3:13" ht="12.75" x14ac:dyDescent="0.2">
      <c r="C167" s="21"/>
      <c r="M167" s="21"/>
    </row>
    <row r="168" spans="3:13" ht="12.75" x14ac:dyDescent="0.2">
      <c r="C168" s="21"/>
      <c r="M168" s="21"/>
    </row>
    <row r="169" spans="3:13" ht="12.75" x14ac:dyDescent="0.2">
      <c r="C169" s="21"/>
      <c r="M169" s="21"/>
    </row>
    <row r="170" spans="3:13" ht="12.75" x14ac:dyDescent="0.2">
      <c r="C170" s="21"/>
      <c r="M170" s="21"/>
    </row>
    <row r="171" spans="3:13" ht="12.75" x14ac:dyDescent="0.2">
      <c r="C171" s="21"/>
      <c r="M171" s="21"/>
    </row>
    <row r="172" spans="3:13" ht="12.75" x14ac:dyDescent="0.2">
      <c r="C172" s="21"/>
      <c r="M172" s="21"/>
    </row>
    <row r="173" spans="3:13" ht="12.75" x14ac:dyDescent="0.2">
      <c r="C173" s="21"/>
      <c r="M173" s="21"/>
    </row>
    <row r="174" spans="3:13" ht="12.75" x14ac:dyDescent="0.2">
      <c r="C174" s="21"/>
      <c r="M174" s="21"/>
    </row>
    <row r="175" spans="3:13" ht="12.75" x14ac:dyDescent="0.2">
      <c r="C175" s="21"/>
      <c r="M175" s="21"/>
    </row>
    <row r="176" spans="3:13" ht="12.75" x14ac:dyDescent="0.2">
      <c r="C176" s="21"/>
      <c r="M176" s="21"/>
    </row>
    <row r="177" spans="3:13" ht="12.75" x14ac:dyDescent="0.2">
      <c r="C177" s="21"/>
      <c r="M177" s="21"/>
    </row>
    <row r="178" spans="3:13" ht="12.75" x14ac:dyDescent="0.2">
      <c r="C178" s="21"/>
      <c r="M178" s="21"/>
    </row>
    <row r="179" spans="3:13" ht="12.75" x14ac:dyDescent="0.2">
      <c r="C179" s="21"/>
      <c r="M179" s="21"/>
    </row>
    <row r="180" spans="3:13" ht="12.75" x14ac:dyDescent="0.2">
      <c r="C180" s="21"/>
      <c r="M180" s="21"/>
    </row>
    <row r="181" spans="3:13" ht="12.75" x14ac:dyDescent="0.2">
      <c r="C181" s="21"/>
      <c r="M181" s="21"/>
    </row>
    <row r="182" spans="3:13" ht="12.75" x14ac:dyDescent="0.2">
      <c r="C182" s="21"/>
      <c r="M182" s="21"/>
    </row>
    <row r="183" spans="3:13" ht="12.75" x14ac:dyDescent="0.2">
      <c r="C183" s="21"/>
      <c r="M183" s="21"/>
    </row>
    <row r="184" spans="3:13" ht="12.75" x14ac:dyDescent="0.2">
      <c r="C184" s="21"/>
      <c r="M184" s="21"/>
    </row>
    <row r="185" spans="3:13" ht="12.75" x14ac:dyDescent="0.2">
      <c r="C185" s="21"/>
      <c r="M185" s="21"/>
    </row>
    <row r="186" spans="3:13" ht="12.75" x14ac:dyDescent="0.2">
      <c r="C186" s="21"/>
      <c r="M186" s="21"/>
    </row>
    <row r="187" spans="3:13" ht="12.75" x14ac:dyDescent="0.2">
      <c r="C187" s="21"/>
      <c r="M187" s="21"/>
    </row>
    <row r="188" spans="3:13" ht="12.75" x14ac:dyDescent="0.2">
      <c r="C188" s="21"/>
      <c r="M188" s="21"/>
    </row>
    <row r="189" spans="3:13" ht="12.75" x14ac:dyDescent="0.2">
      <c r="C189" s="21"/>
      <c r="M189" s="21"/>
    </row>
    <row r="190" spans="3:13" ht="12.75" x14ac:dyDescent="0.2">
      <c r="C190" s="21"/>
      <c r="M190" s="21"/>
    </row>
    <row r="191" spans="3:13" ht="12.75" x14ac:dyDescent="0.2">
      <c r="C191" s="21"/>
      <c r="M191" s="21"/>
    </row>
    <row r="192" spans="3:13" ht="12.75" x14ac:dyDescent="0.2">
      <c r="C192" s="21"/>
      <c r="M192" s="21"/>
    </row>
    <row r="193" spans="3:13" ht="12.75" x14ac:dyDescent="0.2">
      <c r="C193" s="21"/>
      <c r="M193" s="21"/>
    </row>
    <row r="194" spans="3:13" ht="12.75" x14ac:dyDescent="0.2">
      <c r="C194" s="21"/>
      <c r="M194" s="21"/>
    </row>
    <row r="195" spans="3:13" ht="12.75" x14ac:dyDescent="0.2">
      <c r="C195" s="21"/>
      <c r="M195" s="21"/>
    </row>
    <row r="196" spans="3:13" ht="12.75" x14ac:dyDescent="0.2">
      <c r="C196" s="21"/>
      <c r="M196" s="21"/>
    </row>
    <row r="197" spans="3:13" ht="12.75" x14ac:dyDescent="0.2">
      <c r="C197" s="21"/>
      <c r="M197" s="21"/>
    </row>
    <row r="198" spans="3:13" ht="12.75" x14ac:dyDescent="0.2">
      <c r="C198" s="21"/>
      <c r="M198" s="21"/>
    </row>
    <row r="199" spans="3:13" ht="12.75" x14ac:dyDescent="0.2">
      <c r="C199" s="21"/>
      <c r="M199" s="21"/>
    </row>
    <row r="200" spans="3:13" ht="12.75" x14ac:dyDescent="0.2">
      <c r="C200" s="21"/>
      <c r="M200" s="21"/>
    </row>
    <row r="201" spans="3:13" ht="12.75" x14ac:dyDescent="0.2">
      <c r="C201" s="21"/>
      <c r="M201" s="21"/>
    </row>
    <row r="202" spans="3:13" ht="12.75" x14ac:dyDescent="0.2">
      <c r="C202" s="21"/>
      <c r="M202" s="21"/>
    </row>
    <row r="203" spans="3:13" ht="12.75" x14ac:dyDescent="0.2">
      <c r="C203" s="21"/>
      <c r="M203" s="21"/>
    </row>
    <row r="204" spans="3:13" ht="12.75" x14ac:dyDescent="0.2">
      <c r="C204" s="21"/>
      <c r="M204" s="21"/>
    </row>
    <row r="205" spans="3:13" ht="12.75" x14ac:dyDescent="0.2">
      <c r="C205" s="21"/>
      <c r="M205" s="21"/>
    </row>
    <row r="206" spans="3:13" ht="12.75" x14ac:dyDescent="0.2">
      <c r="C206" s="21"/>
      <c r="M206" s="21"/>
    </row>
    <row r="207" spans="3:13" ht="12.75" x14ac:dyDescent="0.2">
      <c r="C207" s="21"/>
      <c r="M207" s="21"/>
    </row>
    <row r="208" spans="3:13" ht="12.75" x14ac:dyDescent="0.2">
      <c r="C208" s="21"/>
      <c r="M208" s="21"/>
    </row>
    <row r="209" spans="3:13" ht="12.75" x14ac:dyDescent="0.2">
      <c r="C209" s="21"/>
      <c r="M209" s="21"/>
    </row>
    <row r="210" spans="3:13" ht="12.75" x14ac:dyDescent="0.2">
      <c r="C210" s="21"/>
      <c r="M210" s="21"/>
    </row>
    <row r="211" spans="3:13" ht="12.75" x14ac:dyDescent="0.2">
      <c r="C211" s="21"/>
      <c r="M211" s="21"/>
    </row>
    <row r="212" spans="3:13" ht="12.75" x14ac:dyDescent="0.2">
      <c r="C212" s="21"/>
      <c r="M212" s="21"/>
    </row>
    <row r="213" spans="3:13" ht="12.75" x14ac:dyDescent="0.2">
      <c r="C213" s="21"/>
      <c r="M213" s="21"/>
    </row>
    <row r="214" spans="3:13" ht="12.75" x14ac:dyDescent="0.2">
      <c r="C214" s="21"/>
      <c r="M214" s="21"/>
    </row>
    <row r="215" spans="3:13" ht="12.75" x14ac:dyDescent="0.2">
      <c r="C215" s="21"/>
      <c r="M215" s="21"/>
    </row>
    <row r="216" spans="3:13" ht="12.75" x14ac:dyDescent="0.2">
      <c r="C216" s="21"/>
      <c r="M216" s="21"/>
    </row>
    <row r="217" spans="3:13" ht="12.75" x14ac:dyDescent="0.2">
      <c r="C217" s="21"/>
      <c r="M217" s="21"/>
    </row>
    <row r="218" spans="3:13" ht="12.75" x14ac:dyDescent="0.2">
      <c r="C218" s="21"/>
      <c r="M218" s="21"/>
    </row>
    <row r="219" spans="3:13" ht="12.75" x14ac:dyDescent="0.2">
      <c r="C219" s="21"/>
      <c r="M219" s="21"/>
    </row>
    <row r="220" spans="3:13" ht="12.75" x14ac:dyDescent="0.2">
      <c r="C220" s="21"/>
      <c r="M220" s="21"/>
    </row>
    <row r="221" spans="3:13" ht="12.75" x14ac:dyDescent="0.2">
      <c r="C221" s="21"/>
      <c r="M221" s="21"/>
    </row>
    <row r="222" spans="3:13" ht="12.75" x14ac:dyDescent="0.2">
      <c r="C222" s="21"/>
      <c r="M222" s="21"/>
    </row>
    <row r="223" spans="3:13" ht="12.75" x14ac:dyDescent="0.2">
      <c r="C223" s="21"/>
      <c r="M223" s="21"/>
    </row>
    <row r="224" spans="3:13" ht="12.75" x14ac:dyDescent="0.2">
      <c r="C224" s="21"/>
      <c r="M224" s="21"/>
    </row>
    <row r="225" spans="3:13" ht="12.75" x14ac:dyDescent="0.2">
      <c r="C225" s="21"/>
      <c r="M225" s="21"/>
    </row>
    <row r="226" spans="3:13" ht="12.75" x14ac:dyDescent="0.2">
      <c r="C226" s="21"/>
      <c r="M226" s="21"/>
    </row>
    <row r="227" spans="3:13" ht="12.75" x14ac:dyDescent="0.2">
      <c r="C227" s="21"/>
      <c r="M227" s="21"/>
    </row>
    <row r="228" spans="3:13" ht="12.75" x14ac:dyDescent="0.2">
      <c r="C228" s="21"/>
      <c r="M228" s="21"/>
    </row>
    <row r="229" spans="3:13" ht="12.75" x14ac:dyDescent="0.2">
      <c r="C229" s="21"/>
      <c r="M229" s="21"/>
    </row>
    <row r="230" spans="3:13" ht="12.75" x14ac:dyDescent="0.2">
      <c r="C230" s="21"/>
      <c r="M230" s="21"/>
    </row>
    <row r="231" spans="3:13" ht="12.75" x14ac:dyDescent="0.2">
      <c r="C231" s="21"/>
      <c r="M231" s="21"/>
    </row>
    <row r="232" spans="3:13" ht="12.75" x14ac:dyDescent="0.2">
      <c r="C232" s="21"/>
      <c r="M232" s="21"/>
    </row>
    <row r="233" spans="3:13" ht="12.75" x14ac:dyDescent="0.2">
      <c r="C233" s="21"/>
      <c r="M233" s="21"/>
    </row>
    <row r="234" spans="3:13" ht="12.75" x14ac:dyDescent="0.2">
      <c r="C234" s="21"/>
      <c r="M234" s="21"/>
    </row>
    <row r="235" spans="3:13" ht="12.75" x14ac:dyDescent="0.2">
      <c r="C235" s="21"/>
      <c r="M235" s="21"/>
    </row>
    <row r="236" spans="3:13" ht="12.75" x14ac:dyDescent="0.2">
      <c r="C236" s="21"/>
      <c r="M236" s="21"/>
    </row>
    <row r="237" spans="3:13" ht="12.75" x14ac:dyDescent="0.2">
      <c r="C237" s="21"/>
      <c r="M237" s="21"/>
    </row>
    <row r="238" spans="3:13" ht="12.75" x14ac:dyDescent="0.2">
      <c r="C238" s="21"/>
      <c r="M238" s="21"/>
    </row>
    <row r="239" spans="3:13" ht="12.75" x14ac:dyDescent="0.2">
      <c r="C239" s="21"/>
      <c r="M239" s="21"/>
    </row>
    <row r="240" spans="3:13" ht="12.75" x14ac:dyDescent="0.2">
      <c r="C240" s="21"/>
      <c r="M240" s="21"/>
    </row>
    <row r="241" spans="3:13" ht="12.75" x14ac:dyDescent="0.2">
      <c r="C241" s="21"/>
      <c r="M241" s="21"/>
    </row>
    <row r="242" spans="3:13" ht="12.75" x14ac:dyDescent="0.2">
      <c r="C242" s="21"/>
      <c r="M242" s="21"/>
    </row>
    <row r="243" spans="3:13" ht="12.75" x14ac:dyDescent="0.2">
      <c r="C243" s="21"/>
      <c r="M243" s="21"/>
    </row>
    <row r="244" spans="3:13" ht="12.75" x14ac:dyDescent="0.2">
      <c r="C244" s="21"/>
      <c r="M244" s="21"/>
    </row>
    <row r="245" spans="3:13" ht="12.75" x14ac:dyDescent="0.2">
      <c r="C245" s="21"/>
      <c r="M245" s="21"/>
    </row>
    <row r="246" spans="3:13" ht="12.75" x14ac:dyDescent="0.2">
      <c r="C246" s="21"/>
      <c r="M246" s="21"/>
    </row>
    <row r="247" spans="3:13" ht="12.75" x14ac:dyDescent="0.2">
      <c r="C247" s="21"/>
      <c r="M247" s="21"/>
    </row>
    <row r="248" spans="3:13" ht="12.75" x14ac:dyDescent="0.2">
      <c r="C248" s="21"/>
      <c r="M248" s="21"/>
    </row>
    <row r="249" spans="3:13" ht="12.75" x14ac:dyDescent="0.2">
      <c r="C249" s="21"/>
      <c r="M249" s="21"/>
    </row>
    <row r="250" spans="3:13" ht="12.75" x14ac:dyDescent="0.2">
      <c r="C250" s="21"/>
      <c r="M250" s="21"/>
    </row>
    <row r="251" spans="3:13" ht="12.75" x14ac:dyDescent="0.2">
      <c r="C251" s="21"/>
      <c r="M251" s="21"/>
    </row>
    <row r="252" spans="3:13" ht="12.75" x14ac:dyDescent="0.2">
      <c r="C252" s="21"/>
      <c r="M252" s="21"/>
    </row>
    <row r="253" spans="3:13" ht="12.75" x14ac:dyDescent="0.2">
      <c r="C253" s="21"/>
      <c r="M253" s="21"/>
    </row>
    <row r="254" spans="3:13" ht="12.75" x14ac:dyDescent="0.2">
      <c r="C254" s="21"/>
      <c r="M254" s="21"/>
    </row>
    <row r="255" spans="3:13" ht="12.75" x14ac:dyDescent="0.2">
      <c r="C255" s="21"/>
      <c r="M255" s="21"/>
    </row>
    <row r="256" spans="3:13" ht="12.75" x14ac:dyDescent="0.2">
      <c r="C256" s="21"/>
      <c r="M256" s="21"/>
    </row>
    <row r="257" spans="3:13" ht="12.75" x14ac:dyDescent="0.2">
      <c r="C257" s="21"/>
      <c r="M257" s="21"/>
    </row>
    <row r="258" spans="3:13" ht="12.75" x14ac:dyDescent="0.2">
      <c r="C258" s="21"/>
      <c r="M258" s="21"/>
    </row>
    <row r="259" spans="3:13" ht="12.75" x14ac:dyDescent="0.2">
      <c r="C259" s="21"/>
      <c r="M259" s="21"/>
    </row>
    <row r="260" spans="3:13" ht="12.75" x14ac:dyDescent="0.2">
      <c r="C260" s="21"/>
      <c r="M260" s="21"/>
    </row>
    <row r="261" spans="3:13" ht="12.75" x14ac:dyDescent="0.2">
      <c r="C261" s="21"/>
      <c r="M261" s="21"/>
    </row>
    <row r="262" spans="3:13" ht="12.75" x14ac:dyDescent="0.2">
      <c r="C262" s="21"/>
      <c r="M262" s="21"/>
    </row>
    <row r="263" spans="3:13" ht="12.75" x14ac:dyDescent="0.2">
      <c r="C263" s="21"/>
      <c r="M263" s="21"/>
    </row>
    <row r="264" spans="3:13" ht="12.75" x14ac:dyDescent="0.2">
      <c r="C264" s="21"/>
      <c r="M264" s="21"/>
    </row>
    <row r="265" spans="3:13" ht="12.75" x14ac:dyDescent="0.2">
      <c r="C265" s="21"/>
      <c r="M265" s="21"/>
    </row>
    <row r="266" spans="3:13" ht="12.75" x14ac:dyDescent="0.2">
      <c r="C266" s="21"/>
      <c r="M266" s="21"/>
    </row>
    <row r="267" spans="3:13" ht="12.75" x14ac:dyDescent="0.2">
      <c r="C267" s="21"/>
      <c r="M267" s="21"/>
    </row>
    <row r="268" spans="3:13" ht="12.75" x14ac:dyDescent="0.2">
      <c r="C268" s="21"/>
      <c r="M268" s="21"/>
    </row>
    <row r="269" spans="3:13" ht="12.75" x14ac:dyDescent="0.2">
      <c r="C269" s="21"/>
      <c r="M269" s="21"/>
    </row>
    <row r="270" spans="3:13" ht="12.75" x14ac:dyDescent="0.2">
      <c r="C270" s="21"/>
      <c r="M270" s="21"/>
    </row>
    <row r="271" spans="3:13" ht="12.75" x14ac:dyDescent="0.2">
      <c r="C271" s="21"/>
      <c r="M271" s="21"/>
    </row>
    <row r="272" spans="3:13" ht="12.75" x14ac:dyDescent="0.2">
      <c r="C272" s="21"/>
      <c r="M272" s="21"/>
    </row>
    <row r="273" spans="3:13" ht="12.75" x14ac:dyDescent="0.2">
      <c r="C273" s="21"/>
      <c r="M273" s="21"/>
    </row>
    <row r="274" spans="3:13" ht="12.75" x14ac:dyDescent="0.2">
      <c r="C274" s="21"/>
      <c r="M274" s="21"/>
    </row>
    <row r="275" spans="3:13" ht="12.75" x14ac:dyDescent="0.2">
      <c r="C275" s="21"/>
      <c r="M275" s="21"/>
    </row>
    <row r="276" spans="3:13" ht="12.75" x14ac:dyDescent="0.2">
      <c r="C276" s="21"/>
      <c r="M276" s="21"/>
    </row>
    <row r="277" spans="3:13" ht="12.75" x14ac:dyDescent="0.2">
      <c r="C277" s="21"/>
      <c r="M277" s="21"/>
    </row>
    <row r="278" spans="3:13" ht="12.75" x14ac:dyDescent="0.2">
      <c r="C278" s="21"/>
      <c r="M278" s="21"/>
    </row>
    <row r="279" spans="3:13" ht="12.75" x14ac:dyDescent="0.2">
      <c r="C279" s="21"/>
      <c r="M279" s="21"/>
    </row>
    <row r="280" spans="3:13" ht="12.75" x14ac:dyDescent="0.2">
      <c r="C280" s="21"/>
      <c r="M280" s="21"/>
    </row>
    <row r="281" spans="3:13" ht="12.75" x14ac:dyDescent="0.2">
      <c r="C281" s="21"/>
      <c r="M281" s="21"/>
    </row>
    <row r="282" spans="3:13" ht="12.75" x14ac:dyDescent="0.2">
      <c r="C282" s="21"/>
      <c r="M282" s="21"/>
    </row>
    <row r="283" spans="3:13" ht="12.75" x14ac:dyDescent="0.2">
      <c r="C283" s="21"/>
      <c r="M283" s="21"/>
    </row>
    <row r="284" spans="3:13" ht="12.75" x14ac:dyDescent="0.2">
      <c r="C284" s="21"/>
      <c r="M284" s="21"/>
    </row>
    <row r="285" spans="3:13" ht="12.75" x14ac:dyDescent="0.2">
      <c r="C285" s="21"/>
      <c r="M285" s="21"/>
    </row>
    <row r="286" spans="3:13" ht="12.75" x14ac:dyDescent="0.2">
      <c r="C286" s="21"/>
      <c r="M286" s="21"/>
    </row>
    <row r="287" spans="3:13" ht="12.75" x14ac:dyDescent="0.2">
      <c r="C287" s="21"/>
      <c r="M287" s="21"/>
    </row>
    <row r="288" spans="3:13" ht="12.75" x14ac:dyDescent="0.2">
      <c r="C288" s="21"/>
      <c r="M288" s="21"/>
    </row>
    <row r="289" spans="3:13" ht="12.75" x14ac:dyDescent="0.2">
      <c r="C289" s="21"/>
      <c r="M289" s="21"/>
    </row>
    <row r="290" spans="3:13" ht="12.75" x14ac:dyDescent="0.2">
      <c r="C290" s="21"/>
      <c r="M290" s="21"/>
    </row>
    <row r="291" spans="3:13" ht="12.75" x14ac:dyDescent="0.2">
      <c r="C291" s="21"/>
      <c r="M291" s="21"/>
    </row>
    <row r="292" spans="3:13" ht="12.75" x14ac:dyDescent="0.2">
      <c r="C292" s="21"/>
      <c r="M292" s="21"/>
    </row>
    <row r="293" spans="3:13" ht="12.75" x14ac:dyDescent="0.2">
      <c r="C293" s="21"/>
      <c r="M293" s="21"/>
    </row>
    <row r="294" spans="3:13" ht="12.75" x14ac:dyDescent="0.2">
      <c r="C294" s="21"/>
      <c r="M294" s="21"/>
    </row>
    <row r="295" spans="3:13" ht="12.75" x14ac:dyDescent="0.2">
      <c r="C295" s="21"/>
      <c r="M295" s="21"/>
    </row>
    <row r="296" spans="3:13" ht="12.75" x14ac:dyDescent="0.2">
      <c r="C296" s="21"/>
      <c r="M296" s="21"/>
    </row>
    <row r="297" spans="3:13" ht="12.75" x14ac:dyDescent="0.2">
      <c r="C297" s="21"/>
      <c r="M297" s="21"/>
    </row>
    <row r="298" spans="3:13" ht="12.75" x14ac:dyDescent="0.2">
      <c r="C298" s="21"/>
      <c r="M298" s="21"/>
    </row>
    <row r="299" spans="3:13" ht="12.75" x14ac:dyDescent="0.2">
      <c r="C299" s="21"/>
      <c r="M299" s="21"/>
    </row>
    <row r="300" spans="3:13" ht="12.75" x14ac:dyDescent="0.2">
      <c r="C300" s="21"/>
      <c r="M300" s="21"/>
    </row>
    <row r="301" spans="3:13" ht="12.75" x14ac:dyDescent="0.2">
      <c r="C301" s="21"/>
      <c r="M301" s="21"/>
    </row>
    <row r="302" spans="3:13" ht="12.75" x14ac:dyDescent="0.2">
      <c r="C302" s="21"/>
      <c r="M302" s="21"/>
    </row>
    <row r="303" spans="3:13" ht="12.75" x14ac:dyDescent="0.2">
      <c r="C303" s="21"/>
      <c r="M303" s="21"/>
    </row>
    <row r="304" spans="3:13" ht="12.75" x14ac:dyDescent="0.2">
      <c r="C304" s="21"/>
      <c r="M304" s="21"/>
    </row>
    <row r="305" spans="3:13" ht="12.75" x14ac:dyDescent="0.2">
      <c r="C305" s="21"/>
      <c r="M305" s="21"/>
    </row>
    <row r="306" spans="3:13" ht="12.75" x14ac:dyDescent="0.2">
      <c r="C306" s="21"/>
      <c r="M306" s="21"/>
    </row>
    <row r="307" spans="3:13" ht="12.75" x14ac:dyDescent="0.2">
      <c r="C307" s="21"/>
      <c r="M307" s="21"/>
    </row>
    <row r="308" spans="3:13" ht="12.75" x14ac:dyDescent="0.2">
      <c r="C308" s="21"/>
      <c r="M308" s="21"/>
    </row>
    <row r="309" spans="3:13" ht="12.75" x14ac:dyDescent="0.2">
      <c r="C309" s="21"/>
      <c r="M309" s="21"/>
    </row>
    <row r="310" spans="3:13" ht="12.75" x14ac:dyDescent="0.2">
      <c r="C310" s="21"/>
      <c r="M310" s="21"/>
    </row>
    <row r="311" spans="3:13" ht="12.75" x14ac:dyDescent="0.2">
      <c r="C311" s="21"/>
      <c r="M311" s="21"/>
    </row>
    <row r="312" spans="3:13" ht="12.75" x14ac:dyDescent="0.2">
      <c r="C312" s="21"/>
      <c r="M312" s="21"/>
    </row>
    <row r="313" spans="3:13" ht="12.75" x14ac:dyDescent="0.2">
      <c r="C313" s="21"/>
      <c r="M313" s="21"/>
    </row>
    <row r="314" spans="3:13" ht="12.75" x14ac:dyDescent="0.2">
      <c r="C314" s="21"/>
      <c r="M314" s="21"/>
    </row>
    <row r="315" spans="3:13" ht="12.75" x14ac:dyDescent="0.2">
      <c r="C315" s="21"/>
      <c r="M315" s="21"/>
    </row>
    <row r="316" spans="3:13" ht="12.75" x14ac:dyDescent="0.2">
      <c r="C316" s="21"/>
      <c r="M316" s="21"/>
    </row>
    <row r="317" spans="3:13" ht="12.75" x14ac:dyDescent="0.2">
      <c r="C317" s="21"/>
      <c r="M317" s="21"/>
    </row>
    <row r="318" spans="3:13" ht="12.75" x14ac:dyDescent="0.2">
      <c r="C318" s="21"/>
      <c r="M318" s="21"/>
    </row>
    <row r="319" spans="3:13" ht="12.75" x14ac:dyDescent="0.2">
      <c r="C319" s="21"/>
      <c r="M319" s="21"/>
    </row>
    <row r="320" spans="3:13" ht="12.75" x14ac:dyDescent="0.2">
      <c r="C320" s="21"/>
      <c r="M320" s="21"/>
    </row>
    <row r="321" spans="3:13" ht="12.75" x14ac:dyDescent="0.2">
      <c r="C321" s="21"/>
      <c r="M321" s="21"/>
    </row>
    <row r="322" spans="3:13" ht="12.75" x14ac:dyDescent="0.2">
      <c r="C322" s="21"/>
      <c r="M322" s="21"/>
    </row>
    <row r="323" spans="3:13" ht="12.75" x14ac:dyDescent="0.2">
      <c r="C323" s="21"/>
      <c r="M323" s="21"/>
    </row>
    <row r="324" spans="3:13" ht="12.75" x14ac:dyDescent="0.2">
      <c r="C324" s="21"/>
      <c r="M324" s="21"/>
    </row>
    <row r="325" spans="3:13" ht="12.75" x14ac:dyDescent="0.2">
      <c r="C325" s="21"/>
      <c r="M325" s="21"/>
    </row>
    <row r="326" spans="3:13" ht="12.75" x14ac:dyDescent="0.2">
      <c r="C326" s="21"/>
      <c r="M326" s="21"/>
    </row>
    <row r="327" spans="3:13" ht="12.75" x14ac:dyDescent="0.2">
      <c r="C327" s="21"/>
      <c r="M327" s="21"/>
    </row>
    <row r="328" spans="3:13" ht="12.75" x14ac:dyDescent="0.2">
      <c r="C328" s="21"/>
      <c r="M328" s="21"/>
    </row>
    <row r="329" spans="3:13" ht="12.75" x14ac:dyDescent="0.2">
      <c r="C329" s="21"/>
      <c r="M329" s="21"/>
    </row>
    <row r="330" spans="3:13" ht="12.75" x14ac:dyDescent="0.2">
      <c r="C330" s="21"/>
      <c r="M330" s="21"/>
    </row>
    <row r="331" spans="3:13" ht="12.75" x14ac:dyDescent="0.2">
      <c r="C331" s="21"/>
      <c r="M331" s="21"/>
    </row>
    <row r="332" spans="3:13" ht="12.75" x14ac:dyDescent="0.2">
      <c r="C332" s="21"/>
      <c r="M332" s="21"/>
    </row>
    <row r="333" spans="3:13" ht="12.75" x14ac:dyDescent="0.2">
      <c r="C333" s="21"/>
      <c r="M333" s="21"/>
    </row>
    <row r="334" spans="3:13" ht="12.75" x14ac:dyDescent="0.2">
      <c r="C334" s="21"/>
      <c r="M334" s="21"/>
    </row>
    <row r="335" spans="3:13" ht="12.75" x14ac:dyDescent="0.2">
      <c r="C335" s="21"/>
      <c r="M335" s="21"/>
    </row>
    <row r="336" spans="3:13" ht="12.75" x14ac:dyDescent="0.2">
      <c r="C336" s="21"/>
      <c r="M336" s="21"/>
    </row>
    <row r="337" spans="3:13" ht="12.75" x14ac:dyDescent="0.2">
      <c r="C337" s="21"/>
      <c r="M337" s="21"/>
    </row>
    <row r="338" spans="3:13" ht="12.75" x14ac:dyDescent="0.2">
      <c r="C338" s="21"/>
      <c r="M338" s="21"/>
    </row>
    <row r="339" spans="3:13" ht="12.75" x14ac:dyDescent="0.2">
      <c r="C339" s="21"/>
      <c r="M339" s="21"/>
    </row>
    <row r="340" spans="3:13" ht="12.75" x14ac:dyDescent="0.2">
      <c r="C340" s="21"/>
      <c r="M340" s="21"/>
    </row>
    <row r="341" spans="3:13" ht="12.75" x14ac:dyDescent="0.2">
      <c r="C341" s="21"/>
      <c r="M341" s="21"/>
    </row>
    <row r="342" spans="3:13" ht="12.75" x14ac:dyDescent="0.2">
      <c r="C342" s="21"/>
      <c r="M342" s="21"/>
    </row>
    <row r="343" spans="3:13" ht="12.75" x14ac:dyDescent="0.2">
      <c r="C343" s="21"/>
      <c r="M343" s="21"/>
    </row>
    <row r="344" spans="3:13" ht="12.75" x14ac:dyDescent="0.2">
      <c r="C344" s="21"/>
      <c r="M344" s="21"/>
    </row>
    <row r="345" spans="3:13" ht="12.75" x14ac:dyDescent="0.2">
      <c r="C345" s="21"/>
      <c r="M345" s="21"/>
    </row>
    <row r="346" spans="3:13" ht="12.75" x14ac:dyDescent="0.2">
      <c r="C346" s="21"/>
      <c r="M346" s="21"/>
    </row>
    <row r="347" spans="3:13" ht="12.75" x14ac:dyDescent="0.2">
      <c r="C347" s="21"/>
      <c r="M347" s="21"/>
    </row>
    <row r="348" spans="3:13" ht="12.75" x14ac:dyDescent="0.2">
      <c r="C348" s="21"/>
      <c r="M348" s="21"/>
    </row>
    <row r="349" spans="3:13" ht="12.75" x14ac:dyDescent="0.2">
      <c r="C349" s="21"/>
      <c r="M349" s="21"/>
    </row>
    <row r="350" spans="3:13" ht="12.75" x14ac:dyDescent="0.2">
      <c r="C350" s="21"/>
      <c r="M350" s="21"/>
    </row>
    <row r="351" spans="3:13" ht="12.75" x14ac:dyDescent="0.2">
      <c r="C351" s="21"/>
      <c r="M351" s="21"/>
    </row>
    <row r="352" spans="3:13" ht="12.75" x14ac:dyDescent="0.2">
      <c r="C352" s="21"/>
      <c r="M352" s="21"/>
    </row>
    <row r="353" spans="3:13" ht="12.75" x14ac:dyDescent="0.2">
      <c r="C353" s="21"/>
      <c r="M353" s="21"/>
    </row>
    <row r="354" spans="3:13" ht="12.75" x14ac:dyDescent="0.2">
      <c r="C354" s="21"/>
      <c r="M354" s="21"/>
    </row>
    <row r="355" spans="3:13" ht="12.75" x14ac:dyDescent="0.2">
      <c r="C355" s="21"/>
      <c r="M355" s="21"/>
    </row>
    <row r="356" spans="3:13" ht="12.75" x14ac:dyDescent="0.2">
      <c r="C356" s="21"/>
      <c r="M356" s="21"/>
    </row>
    <row r="357" spans="3:13" ht="12.75" x14ac:dyDescent="0.2">
      <c r="C357" s="21"/>
      <c r="M357" s="21"/>
    </row>
    <row r="358" spans="3:13" ht="12.75" x14ac:dyDescent="0.2">
      <c r="C358" s="21"/>
      <c r="M358" s="21"/>
    </row>
    <row r="359" spans="3:13" ht="12.75" x14ac:dyDescent="0.2">
      <c r="C359" s="21"/>
      <c r="M359" s="21"/>
    </row>
    <row r="360" spans="3:13" ht="12.75" x14ac:dyDescent="0.2">
      <c r="C360" s="21"/>
      <c r="M360" s="21"/>
    </row>
    <row r="361" spans="3:13" ht="12.75" x14ac:dyDescent="0.2">
      <c r="C361" s="21"/>
      <c r="M361" s="21"/>
    </row>
    <row r="362" spans="3:13" ht="12.75" x14ac:dyDescent="0.2">
      <c r="C362" s="21"/>
      <c r="M362" s="21"/>
    </row>
    <row r="363" spans="3:13" ht="12.75" x14ac:dyDescent="0.2">
      <c r="C363" s="21"/>
      <c r="M363" s="21"/>
    </row>
    <row r="364" spans="3:13" ht="12.75" x14ac:dyDescent="0.2">
      <c r="C364" s="21"/>
      <c r="M364" s="21"/>
    </row>
    <row r="365" spans="3:13" ht="12.75" x14ac:dyDescent="0.2">
      <c r="C365" s="21"/>
      <c r="M365" s="21"/>
    </row>
    <row r="366" spans="3:13" ht="12.75" x14ac:dyDescent="0.2">
      <c r="C366" s="21"/>
      <c r="M366" s="21"/>
    </row>
    <row r="367" spans="3:13" ht="12.75" x14ac:dyDescent="0.2">
      <c r="C367" s="21"/>
      <c r="M367" s="21"/>
    </row>
    <row r="368" spans="3:13" ht="12.75" x14ac:dyDescent="0.2">
      <c r="C368" s="21"/>
      <c r="M368" s="21"/>
    </row>
    <row r="369" spans="3:13" ht="12.75" x14ac:dyDescent="0.2">
      <c r="C369" s="21"/>
      <c r="M369" s="21"/>
    </row>
    <row r="370" spans="3:13" ht="12.75" x14ac:dyDescent="0.2">
      <c r="C370" s="21"/>
      <c r="M370" s="21"/>
    </row>
    <row r="371" spans="3:13" ht="12.75" x14ac:dyDescent="0.2">
      <c r="C371" s="21"/>
      <c r="M371" s="21"/>
    </row>
    <row r="372" spans="3:13" ht="12.75" x14ac:dyDescent="0.2">
      <c r="C372" s="21"/>
      <c r="M372" s="21"/>
    </row>
    <row r="373" spans="3:13" ht="12.75" x14ac:dyDescent="0.2">
      <c r="C373" s="21"/>
      <c r="M373" s="21"/>
    </row>
    <row r="374" spans="3:13" ht="12.75" x14ac:dyDescent="0.2">
      <c r="C374" s="21"/>
      <c r="M374" s="21"/>
    </row>
    <row r="375" spans="3:13" ht="12.75" x14ac:dyDescent="0.2">
      <c r="C375" s="21"/>
      <c r="M375" s="21"/>
    </row>
    <row r="376" spans="3:13" ht="12.75" x14ac:dyDescent="0.2">
      <c r="C376" s="21"/>
      <c r="M376" s="21"/>
    </row>
    <row r="377" spans="3:13" ht="12.75" x14ac:dyDescent="0.2">
      <c r="C377" s="21"/>
      <c r="M377" s="21"/>
    </row>
    <row r="378" spans="3:13" ht="12.75" x14ac:dyDescent="0.2">
      <c r="C378" s="21"/>
      <c r="M378" s="21"/>
    </row>
    <row r="379" spans="3:13" ht="12.75" x14ac:dyDescent="0.2">
      <c r="C379" s="21"/>
      <c r="M379" s="21"/>
    </row>
    <row r="380" spans="3:13" ht="12.75" x14ac:dyDescent="0.2">
      <c r="C380" s="21"/>
      <c r="M380" s="21"/>
    </row>
    <row r="381" spans="3:13" ht="12.75" x14ac:dyDescent="0.2">
      <c r="C381" s="21"/>
      <c r="M381" s="21"/>
    </row>
    <row r="382" spans="3:13" ht="12.75" x14ac:dyDescent="0.2">
      <c r="C382" s="21"/>
      <c r="M382" s="21"/>
    </row>
    <row r="383" spans="3:13" ht="12.75" x14ac:dyDescent="0.2">
      <c r="C383" s="21"/>
      <c r="M383" s="21"/>
    </row>
    <row r="384" spans="3:13" ht="12.75" x14ac:dyDescent="0.2">
      <c r="C384" s="21"/>
      <c r="M384" s="21"/>
    </row>
    <row r="385" spans="3:13" ht="12.75" x14ac:dyDescent="0.2">
      <c r="C385" s="21"/>
      <c r="M385" s="21"/>
    </row>
    <row r="386" spans="3:13" ht="12.75" x14ac:dyDescent="0.2">
      <c r="C386" s="21"/>
      <c r="M386" s="21"/>
    </row>
    <row r="387" spans="3:13" ht="12.75" x14ac:dyDescent="0.2">
      <c r="C387" s="21"/>
      <c r="M387" s="21"/>
    </row>
    <row r="388" spans="3:13" ht="12.75" x14ac:dyDescent="0.2">
      <c r="C388" s="21"/>
      <c r="M388" s="21"/>
    </row>
    <row r="389" spans="3:13" ht="12.75" x14ac:dyDescent="0.2">
      <c r="C389" s="21"/>
      <c r="M389" s="21"/>
    </row>
    <row r="390" spans="3:13" ht="12.75" x14ac:dyDescent="0.2">
      <c r="C390" s="21"/>
      <c r="M390" s="21"/>
    </row>
    <row r="391" spans="3:13" ht="12.75" x14ac:dyDescent="0.2">
      <c r="C391" s="21"/>
      <c r="M391" s="21"/>
    </row>
    <row r="392" spans="3:13" ht="12.75" x14ac:dyDescent="0.2">
      <c r="C392" s="21"/>
      <c r="M392" s="21"/>
    </row>
    <row r="393" spans="3:13" ht="12.75" x14ac:dyDescent="0.2">
      <c r="C393" s="21"/>
      <c r="M393" s="21"/>
    </row>
    <row r="394" spans="3:13" ht="12.75" x14ac:dyDescent="0.2">
      <c r="C394" s="21"/>
      <c r="M394" s="21"/>
    </row>
    <row r="395" spans="3:13" ht="12.75" x14ac:dyDescent="0.2">
      <c r="C395" s="21"/>
      <c r="M395" s="21"/>
    </row>
    <row r="396" spans="3:13" ht="12.75" x14ac:dyDescent="0.2">
      <c r="C396" s="21"/>
      <c r="M396" s="21"/>
    </row>
    <row r="397" spans="3:13" ht="12.75" x14ac:dyDescent="0.2">
      <c r="C397" s="21"/>
      <c r="M397" s="21"/>
    </row>
    <row r="398" spans="3:13" ht="12.75" x14ac:dyDescent="0.2">
      <c r="C398" s="21"/>
      <c r="M398" s="21"/>
    </row>
    <row r="399" spans="3:13" ht="12.75" x14ac:dyDescent="0.2">
      <c r="C399" s="21"/>
      <c r="M399" s="21"/>
    </row>
    <row r="400" spans="3:13" ht="12.75" x14ac:dyDescent="0.2">
      <c r="C400" s="21"/>
      <c r="M400" s="21"/>
    </row>
    <row r="401" spans="3:13" ht="12.75" x14ac:dyDescent="0.2">
      <c r="C401" s="21"/>
      <c r="M401" s="21"/>
    </row>
    <row r="402" spans="3:13" ht="12.75" x14ac:dyDescent="0.2">
      <c r="C402" s="21"/>
      <c r="M402" s="21"/>
    </row>
    <row r="403" spans="3:13" ht="12.75" x14ac:dyDescent="0.2">
      <c r="C403" s="21"/>
      <c r="M403" s="21"/>
    </row>
    <row r="404" spans="3:13" ht="12.75" x14ac:dyDescent="0.2">
      <c r="C404" s="21"/>
      <c r="M404" s="21"/>
    </row>
    <row r="405" spans="3:13" ht="12.75" x14ac:dyDescent="0.2">
      <c r="C405" s="21"/>
      <c r="M405" s="21"/>
    </row>
    <row r="406" spans="3:13" ht="12.75" x14ac:dyDescent="0.2">
      <c r="C406" s="21"/>
      <c r="M406" s="21"/>
    </row>
    <row r="407" spans="3:13" ht="12.75" x14ac:dyDescent="0.2">
      <c r="C407" s="21"/>
      <c r="M407" s="21"/>
    </row>
    <row r="408" spans="3:13" ht="12.75" x14ac:dyDescent="0.2">
      <c r="C408" s="21"/>
      <c r="M408" s="21"/>
    </row>
    <row r="409" spans="3:13" ht="12.75" x14ac:dyDescent="0.2">
      <c r="C409" s="21"/>
      <c r="M409" s="21"/>
    </row>
    <row r="410" spans="3:13" ht="12.75" x14ac:dyDescent="0.2">
      <c r="C410" s="21"/>
      <c r="M410" s="21"/>
    </row>
    <row r="411" spans="3:13" ht="12.75" x14ac:dyDescent="0.2">
      <c r="C411" s="21"/>
      <c r="M411" s="21"/>
    </row>
    <row r="412" spans="3:13" ht="12.75" x14ac:dyDescent="0.2">
      <c r="C412" s="21"/>
      <c r="M412" s="21"/>
    </row>
    <row r="413" spans="3:13" ht="12.75" x14ac:dyDescent="0.2">
      <c r="C413" s="21"/>
      <c r="M413" s="21"/>
    </row>
    <row r="414" spans="3:13" ht="12.75" x14ac:dyDescent="0.2">
      <c r="C414" s="21"/>
      <c r="M414" s="21"/>
    </row>
    <row r="415" spans="3:13" ht="12.75" x14ac:dyDescent="0.2">
      <c r="C415" s="21"/>
      <c r="M415" s="21"/>
    </row>
    <row r="416" spans="3:13" ht="12.75" x14ac:dyDescent="0.2">
      <c r="C416" s="21"/>
      <c r="M416" s="21"/>
    </row>
    <row r="417" spans="3:13" ht="12.75" x14ac:dyDescent="0.2">
      <c r="C417" s="21"/>
      <c r="M417" s="21"/>
    </row>
    <row r="418" spans="3:13" ht="12.75" x14ac:dyDescent="0.2">
      <c r="C418" s="21"/>
      <c r="M418" s="21"/>
    </row>
    <row r="419" spans="3:13" ht="12.75" x14ac:dyDescent="0.2">
      <c r="C419" s="21"/>
      <c r="M419" s="21"/>
    </row>
    <row r="420" spans="3:13" ht="12.75" x14ac:dyDescent="0.2">
      <c r="C420" s="21"/>
      <c r="M420" s="21"/>
    </row>
    <row r="421" spans="3:13" ht="12.75" x14ac:dyDescent="0.2">
      <c r="C421" s="21"/>
      <c r="M421" s="21"/>
    </row>
    <row r="422" spans="3:13" ht="12.75" x14ac:dyDescent="0.2">
      <c r="C422" s="21"/>
      <c r="M422" s="21"/>
    </row>
    <row r="423" spans="3:13" ht="12.75" x14ac:dyDescent="0.2">
      <c r="C423" s="21"/>
      <c r="M423" s="21"/>
    </row>
    <row r="424" spans="3:13" ht="12.75" x14ac:dyDescent="0.2">
      <c r="C424" s="21"/>
      <c r="M424" s="21"/>
    </row>
    <row r="425" spans="3:13" ht="12.75" x14ac:dyDescent="0.2">
      <c r="C425" s="21"/>
      <c r="M425" s="21"/>
    </row>
    <row r="426" spans="3:13" ht="12.75" x14ac:dyDescent="0.2">
      <c r="C426" s="21"/>
      <c r="M426" s="21"/>
    </row>
    <row r="427" spans="3:13" ht="12.75" x14ac:dyDescent="0.2">
      <c r="C427" s="21"/>
      <c r="M427" s="21"/>
    </row>
    <row r="428" spans="3:13" ht="12.75" x14ac:dyDescent="0.2">
      <c r="C428" s="21"/>
      <c r="M428" s="21"/>
    </row>
    <row r="429" spans="3:13" ht="12.75" x14ac:dyDescent="0.2">
      <c r="C429" s="21"/>
      <c r="M429" s="21"/>
    </row>
    <row r="430" spans="3:13" ht="12.75" x14ac:dyDescent="0.2">
      <c r="C430" s="21"/>
      <c r="M430" s="21"/>
    </row>
    <row r="431" spans="3:13" ht="12.75" x14ac:dyDescent="0.2">
      <c r="C431" s="21"/>
      <c r="M431" s="21"/>
    </row>
    <row r="432" spans="3:13" ht="12.75" x14ac:dyDescent="0.2">
      <c r="C432" s="21"/>
      <c r="M432" s="21"/>
    </row>
    <row r="433" spans="3:13" ht="12.75" x14ac:dyDescent="0.2">
      <c r="C433" s="21"/>
      <c r="M433" s="21"/>
    </row>
    <row r="434" spans="3:13" ht="12.75" x14ac:dyDescent="0.2">
      <c r="C434" s="21"/>
      <c r="M434" s="21"/>
    </row>
    <row r="435" spans="3:13" ht="12.75" x14ac:dyDescent="0.2">
      <c r="C435" s="21"/>
      <c r="M435" s="21"/>
    </row>
    <row r="436" spans="3:13" ht="12.75" x14ac:dyDescent="0.2">
      <c r="C436" s="21"/>
      <c r="M436" s="21"/>
    </row>
    <row r="437" spans="3:13" ht="12.75" x14ac:dyDescent="0.2">
      <c r="C437" s="21"/>
      <c r="M437" s="21"/>
    </row>
    <row r="438" spans="3:13" ht="12.75" x14ac:dyDescent="0.2">
      <c r="C438" s="21"/>
      <c r="M438" s="21"/>
    </row>
    <row r="439" spans="3:13" ht="12.75" x14ac:dyDescent="0.2">
      <c r="C439" s="21"/>
      <c r="M439" s="21"/>
    </row>
    <row r="440" spans="3:13" ht="12.75" x14ac:dyDescent="0.2">
      <c r="C440" s="21"/>
      <c r="M440" s="21"/>
    </row>
    <row r="441" spans="3:13" ht="12.75" x14ac:dyDescent="0.2">
      <c r="C441" s="21"/>
      <c r="M441" s="21"/>
    </row>
    <row r="442" spans="3:13" ht="12.75" x14ac:dyDescent="0.2">
      <c r="C442" s="21"/>
      <c r="M442" s="21"/>
    </row>
    <row r="443" spans="3:13" ht="12.75" x14ac:dyDescent="0.2">
      <c r="C443" s="21"/>
      <c r="M443" s="21"/>
    </row>
    <row r="444" spans="3:13" ht="12.75" x14ac:dyDescent="0.2">
      <c r="C444" s="21"/>
      <c r="M444" s="21"/>
    </row>
    <row r="445" spans="3:13" ht="12.75" x14ac:dyDescent="0.2">
      <c r="C445" s="21"/>
      <c r="M445" s="21"/>
    </row>
    <row r="446" spans="3:13" ht="12.75" x14ac:dyDescent="0.2">
      <c r="C446" s="21"/>
      <c r="M446" s="21"/>
    </row>
    <row r="447" spans="3:13" ht="12.75" x14ac:dyDescent="0.2">
      <c r="C447" s="21"/>
      <c r="M447" s="21"/>
    </row>
    <row r="448" spans="3:13" ht="12.75" x14ac:dyDescent="0.2">
      <c r="C448" s="21"/>
      <c r="M448" s="21"/>
    </row>
    <row r="449" spans="3:13" ht="12.75" x14ac:dyDescent="0.2">
      <c r="C449" s="21"/>
      <c r="M449" s="21"/>
    </row>
    <row r="450" spans="3:13" ht="12.75" x14ac:dyDescent="0.2">
      <c r="C450" s="21"/>
      <c r="M450" s="21"/>
    </row>
    <row r="451" spans="3:13" ht="12.75" x14ac:dyDescent="0.2">
      <c r="C451" s="21"/>
      <c r="M451" s="21"/>
    </row>
    <row r="452" spans="3:13" ht="12.75" x14ac:dyDescent="0.2">
      <c r="C452" s="21"/>
      <c r="M452" s="21"/>
    </row>
    <row r="453" spans="3:13" ht="12.75" x14ac:dyDescent="0.2">
      <c r="C453" s="21"/>
      <c r="M453" s="21"/>
    </row>
    <row r="454" spans="3:13" ht="12.75" x14ac:dyDescent="0.2">
      <c r="C454" s="21"/>
      <c r="M454" s="21"/>
    </row>
    <row r="455" spans="3:13" ht="12.75" x14ac:dyDescent="0.2">
      <c r="C455" s="21"/>
      <c r="M455" s="21"/>
    </row>
    <row r="456" spans="3:13" ht="12.75" x14ac:dyDescent="0.2">
      <c r="C456" s="21"/>
      <c r="M456" s="21"/>
    </row>
    <row r="457" spans="3:13" ht="12.75" x14ac:dyDescent="0.2">
      <c r="C457" s="21"/>
      <c r="M457" s="21"/>
    </row>
    <row r="458" spans="3:13" ht="12.75" x14ac:dyDescent="0.2">
      <c r="C458" s="21"/>
      <c r="M458" s="21"/>
    </row>
    <row r="459" spans="3:13" ht="12.75" x14ac:dyDescent="0.2">
      <c r="C459" s="21"/>
      <c r="M459" s="21"/>
    </row>
    <row r="460" spans="3:13" ht="12.75" x14ac:dyDescent="0.2">
      <c r="C460" s="21"/>
      <c r="M460" s="21"/>
    </row>
    <row r="461" spans="3:13" ht="12.75" x14ac:dyDescent="0.2">
      <c r="C461" s="21"/>
      <c r="M461" s="21"/>
    </row>
    <row r="462" spans="3:13" ht="12.75" x14ac:dyDescent="0.2">
      <c r="C462" s="21"/>
      <c r="M462" s="21"/>
    </row>
    <row r="463" spans="3:13" ht="12.75" x14ac:dyDescent="0.2">
      <c r="C463" s="21"/>
      <c r="M463" s="21"/>
    </row>
    <row r="464" spans="3:13" ht="12.75" x14ac:dyDescent="0.2">
      <c r="C464" s="21"/>
      <c r="M464" s="21"/>
    </row>
    <row r="465" spans="3:13" ht="12.75" x14ac:dyDescent="0.2">
      <c r="C465" s="21"/>
      <c r="M465" s="21"/>
    </row>
    <row r="466" spans="3:13" ht="12.75" x14ac:dyDescent="0.2">
      <c r="C466" s="21"/>
      <c r="M466" s="21"/>
    </row>
    <row r="467" spans="3:13" ht="12.75" x14ac:dyDescent="0.2">
      <c r="C467" s="21"/>
      <c r="M467" s="21"/>
    </row>
    <row r="468" spans="3:13" ht="12.75" x14ac:dyDescent="0.2">
      <c r="C468" s="21"/>
      <c r="M468" s="21"/>
    </row>
    <row r="469" spans="3:13" ht="12.75" x14ac:dyDescent="0.2">
      <c r="C469" s="21"/>
      <c r="M469" s="21"/>
    </row>
    <row r="470" spans="3:13" ht="12.75" x14ac:dyDescent="0.2">
      <c r="C470" s="21"/>
      <c r="M470" s="21"/>
    </row>
    <row r="471" spans="3:13" ht="12.75" x14ac:dyDescent="0.2">
      <c r="C471" s="21"/>
      <c r="M471" s="21"/>
    </row>
    <row r="472" spans="3:13" ht="12.75" x14ac:dyDescent="0.2">
      <c r="C472" s="21"/>
      <c r="M472" s="21"/>
    </row>
    <row r="473" spans="3:13" ht="12.75" x14ac:dyDescent="0.2">
      <c r="C473" s="21"/>
      <c r="M473" s="21"/>
    </row>
    <row r="474" spans="3:13" ht="12.75" x14ac:dyDescent="0.2">
      <c r="C474" s="21"/>
      <c r="M474" s="21"/>
    </row>
    <row r="475" spans="3:13" ht="12.75" x14ac:dyDescent="0.2">
      <c r="C475" s="21"/>
      <c r="M475" s="21"/>
    </row>
    <row r="476" spans="3:13" ht="12.75" x14ac:dyDescent="0.2">
      <c r="C476" s="21"/>
      <c r="M476" s="21"/>
    </row>
    <row r="477" spans="3:13" ht="12.75" x14ac:dyDescent="0.2">
      <c r="C477" s="21"/>
      <c r="M477" s="21"/>
    </row>
    <row r="478" spans="3:13" ht="12.75" x14ac:dyDescent="0.2">
      <c r="C478" s="21"/>
      <c r="M478" s="21"/>
    </row>
    <row r="479" spans="3:13" ht="12.75" x14ac:dyDescent="0.2">
      <c r="C479" s="21"/>
      <c r="M479" s="21"/>
    </row>
    <row r="480" spans="3:13" ht="12.75" x14ac:dyDescent="0.2">
      <c r="C480" s="21"/>
      <c r="M480" s="21"/>
    </row>
    <row r="481" spans="3:13" ht="12.75" x14ac:dyDescent="0.2">
      <c r="C481" s="21"/>
      <c r="M481" s="21"/>
    </row>
    <row r="482" spans="3:13" ht="12.75" x14ac:dyDescent="0.2">
      <c r="C482" s="21"/>
      <c r="M482" s="21"/>
    </row>
    <row r="483" spans="3:13" ht="12.75" x14ac:dyDescent="0.2">
      <c r="C483" s="21"/>
      <c r="M483" s="21"/>
    </row>
    <row r="484" spans="3:13" ht="12.75" x14ac:dyDescent="0.2">
      <c r="C484" s="21"/>
      <c r="M484" s="21"/>
    </row>
    <row r="485" spans="3:13" ht="12.75" x14ac:dyDescent="0.2">
      <c r="C485" s="21"/>
      <c r="M485" s="21"/>
    </row>
    <row r="486" spans="3:13" ht="12.75" x14ac:dyDescent="0.2">
      <c r="C486" s="21"/>
      <c r="M486" s="21"/>
    </row>
    <row r="487" spans="3:13" ht="12.75" x14ac:dyDescent="0.2">
      <c r="C487" s="21"/>
      <c r="M487" s="21"/>
    </row>
    <row r="488" spans="3:13" ht="12.75" x14ac:dyDescent="0.2">
      <c r="C488" s="21"/>
      <c r="M488" s="21"/>
    </row>
    <row r="489" spans="3:13" ht="12.75" x14ac:dyDescent="0.2">
      <c r="C489" s="21"/>
      <c r="M489" s="21"/>
    </row>
    <row r="490" spans="3:13" ht="12.75" x14ac:dyDescent="0.2">
      <c r="C490" s="21"/>
      <c r="M490" s="21"/>
    </row>
    <row r="491" spans="3:13" ht="12.75" x14ac:dyDescent="0.2">
      <c r="C491" s="21"/>
      <c r="M491" s="21"/>
    </row>
    <row r="492" spans="3:13" ht="12.75" x14ac:dyDescent="0.2">
      <c r="C492" s="21"/>
      <c r="M492" s="21"/>
    </row>
    <row r="493" spans="3:13" ht="12.75" x14ac:dyDescent="0.2">
      <c r="C493" s="21"/>
      <c r="M493" s="21"/>
    </row>
  </sheetData>
  <mergeCells count="9">
    <mergeCell ref="I1:J1"/>
    <mergeCell ref="K1:L1"/>
    <mergeCell ref="A1:A3"/>
    <mergeCell ref="B1:B3"/>
    <mergeCell ref="C1:C3"/>
    <mergeCell ref="D1:D3"/>
    <mergeCell ref="E1:E3"/>
    <mergeCell ref="F1:F3"/>
    <mergeCell ref="G1:H1"/>
  </mergeCells>
  <conditionalFormatting sqref="V4:V11">
    <cfRule type="expression" dxfId="3" priority="1">
      <formula>$V4="Yuqori (High)"</formula>
    </cfRule>
  </conditionalFormatting>
  <conditionalFormatting sqref="V4:V11">
    <cfRule type="expression" dxfId="2" priority="2">
      <formula>$V4="O‘rtacha (Medium)"</formula>
    </cfRule>
  </conditionalFormatting>
  <conditionalFormatting sqref="V4:V11">
    <cfRule type="expression" dxfId="1" priority="3">
      <formula>$V4="Past (Low)"</formula>
    </cfRule>
  </conditionalFormatting>
  <conditionalFormatting sqref="Q4:Q11">
    <cfRule type="expression" dxfId="0" priority="4">
      <formula>$Q4&gt;0</formula>
    </cfRule>
  </conditionalFormatting>
  <dataValidations count="1">
    <dataValidation type="list" allowBlank="1" showErrorMessage="1" sqref="F4:F11" xr:uid="{00000000-0002-0000-0000-000000000000}">
      <formula1>"Grant,Kontrakt,chetlashgan"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dashboard 1-kurs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kamoliddinhayitboyev1982@gmail.com</cp:lastModifiedBy>
  <dcterms:modified xsi:type="dcterms:W3CDTF">2026-05-18T12:29:07Z</dcterms:modified>
</cp:coreProperties>
</file>